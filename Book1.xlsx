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excel\exam\"/>
    </mc:Choice>
  </mc:AlternateContent>
  <xr:revisionPtr revIDLastSave="0" documentId="13_ncr:1_{7188E452-60EC-4CD6-8BD5-DDD8E9697D6D}" xr6:coauthVersionLast="47" xr6:coauthVersionMax="47" xr10:uidLastSave="{00000000-0000-0000-0000-000000000000}"/>
  <bookViews>
    <workbookView xWindow="-108" yWindow="-108" windowWidth="23256" windowHeight="12456" xr2:uid="{CB455A23-E6AB-4FE3-8303-180DED6380B7}"/>
  </bookViews>
  <sheets>
    <sheet name="Dashboard" sheetId="1" r:id="rId1"/>
    <sheet name="Pivot table" sheetId="4" r:id="rId2"/>
    <sheet name="Dataset" sheetId="3" r:id="rId3"/>
    <sheet name="Filter and formula" sheetId="7" r:id="rId4"/>
  </sheets>
  <definedNames>
    <definedName name="NativeTimeline_Date">#N/A</definedName>
    <definedName name="Slicer_Age">#N/A</definedName>
    <definedName name="Slicer_Gender">#N/A</definedName>
    <definedName name="Slicer_Product_Category">#N/A</definedName>
    <definedName name="Slicer_Quantity">#N/A</definedName>
    <definedName name="Slicer_SalesPerson">#N/A</definedName>
  </definedNames>
  <calcPr calcId="191029"/>
  <pivotCaches>
    <pivotCache cacheId="10" r:id="rId5"/>
    <pivotCache cacheId="9" r:id="rId6"/>
  </pivotCaches>
  <fileRecoveryPr repairLoad="1"/>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1" l="1"/>
  <c r="M8" i="1"/>
  <c r="E8" i="1"/>
  <c r="Q8" i="1"/>
  <c r="R2" i="7" l="1" a="1"/>
  <c r="R2" i="7" s="1"/>
  <c r="S2" i="7" a="1"/>
  <c r="S2" i="7" s="1"/>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2" i="7"/>
  <c r="M991" i="7" a="1"/>
  <c r="M991" i="7" s="1"/>
  <c r="M992" i="7" a="1"/>
  <c r="M992" i="7"/>
  <c r="M993" i="7" a="1"/>
  <c r="M993" i="7"/>
  <c r="M994" i="7" a="1"/>
  <c r="M994" i="7" s="1"/>
  <c r="M995" i="7" a="1"/>
  <c r="M995" i="7" s="1"/>
  <c r="M996" i="7" a="1"/>
  <c r="M996" i="7" s="1"/>
  <c r="M997" i="7" a="1"/>
  <c r="M997" i="7"/>
  <c r="M998" i="7" a="1"/>
  <c r="M998" i="7" s="1"/>
  <c r="M999" i="7" a="1"/>
  <c r="M999" i="7" s="1"/>
  <c r="M1000" i="7" a="1"/>
  <c r="M1000" i="7" s="1"/>
  <c r="M1001" i="7" a="1"/>
  <c r="M1001" i="7" s="1"/>
  <c r="M23" i="7" a="1"/>
  <c r="M23" i="7" s="1"/>
  <c r="M24" i="7" a="1"/>
  <c r="M24" i="7" s="1"/>
  <c r="M25" i="7" a="1"/>
  <c r="M25" i="7"/>
  <c r="M26" i="7" a="1"/>
  <c r="M26" i="7" s="1"/>
  <c r="M27" i="7" a="1"/>
  <c r="M27" i="7" s="1"/>
  <c r="M28" i="7" a="1"/>
  <c r="M28" i="7" s="1"/>
  <c r="M29" i="7" a="1"/>
  <c r="M29" i="7"/>
  <c r="M30" i="7" a="1"/>
  <c r="M30" i="7"/>
  <c r="M31" i="7" a="1"/>
  <c r="M31" i="7" s="1"/>
  <c r="M32" i="7" a="1"/>
  <c r="M32" i="7" s="1"/>
  <c r="M33" i="7" a="1"/>
  <c r="M33" i="7" s="1"/>
  <c r="M34" i="7" a="1"/>
  <c r="M34" i="7" s="1"/>
  <c r="M35" i="7" a="1"/>
  <c r="M35" i="7"/>
  <c r="M36" i="7" a="1"/>
  <c r="M36" i="7" s="1"/>
  <c r="M37" i="7" a="1"/>
  <c r="M37" i="7" s="1"/>
  <c r="M38" i="7" a="1"/>
  <c r="M38" i="7" s="1"/>
  <c r="M39" i="7" a="1"/>
  <c r="M39" i="7"/>
  <c r="M40" i="7" a="1"/>
  <c r="M40" i="7" s="1"/>
  <c r="M41" i="7" a="1"/>
  <c r="M41" i="7" s="1"/>
  <c r="M42" i="7" a="1"/>
  <c r="M42" i="7" s="1"/>
  <c r="M43" i="7" a="1"/>
  <c r="M43" i="7" s="1"/>
  <c r="M44" i="7" a="1"/>
  <c r="M44" i="7" s="1"/>
  <c r="M45" i="7" a="1"/>
  <c r="M45" i="7"/>
  <c r="M46" i="7" a="1"/>
  <c r="M46" i="7" s="1"/>
  <c r="M47" i="7" a="1"/>
  <c r="M47" i="7"/>
  <c r="M48" i="7" a="1"/>
  <c r="M48" i="7"/>
  <c r="M49" i="7" a="1"/>
  <c r="M49" i="7"/>
  <c r="M50" i="7" a="1"/>
  <c r="M50" i="7" s="1"/>
  <c r="M51" i="7" a="1"/>
  <c r="M51" i="7" s="1"/>
  <c r="M52" i="7" a="1"/>
  <c r="M52" i="7" s="1"/>
  <c r="M53" i="7" a="1"/>
  <c r="M53" i="7" s="1"/>
  <c r="M54" i="7" a="1"/>
  <c r="M54" i="7"/>
  <c r="M55" i="7" a="1"/>
  <c r="M55" i="7" s="1"/>
  <c r="M56" i="7" a="1"/>
  <c r="M56" i="7" s="1"/>
  <c r="M57" i="7" a="1"/>
  <c r="M57" i="7"/>
  <c r="M58" i="7" a="1"/>
  <c r="M58" i="7" s="1"/>
  <c r="M59" i="7" a="1"/>
  <c r="M59" i="7" s="1"/>
  <c r="M60" i="7" a="1"/>
  <c r="M60" i="7"/>
  <c r="M61" i="7" a="1"/>
  <c r="M61" i="7" s="1"/>
  <c r="M62" i="7" a="1"/>
  <c r="M62" i="7" s="1"/>
  <c r="M63" i="7" a="1"/>
  <c r="M63" i="7"/>
  <c r="M64" i="7" a="1"/>
  <c r="M64" i="7" s="1"/>
  <c r="M65" i="7" a="1"/>
  <c r="M65" i="7" s="1"/>
  <c r="M66" i="7" a="1"/>
  <c r="M66" i="7" s="1"/>
  <c r="M67" i="7" a="1"/>
  <c r="M67" i="7" s="1"/>
  <c r="M68" i="7" a="1"/>
  <c r="M68" i="7" s="1"/>
  <c r="M69" i="7" a="1"/>
  <c r="M69" i="7" s="1"/>
  <c r="M70" i="7" a="1"/>
  <c r="M70" i="7"/>
  <c r="M71" i="7" a="1"/>
  <c r="M71" i="7" s="1"/>
  <c r="M72" i="7" a="1"/>
  <c r="M72" i="7" s="1"/>
  <c r="M73" i="7" a="1"/>
  <c r="M73" i="7"/>
  <c r="M74" i="7" a="1"/>
  <c r="M74" i="7" s="1"/>
  <c r="M75" i="7" a="1"/>
  <c r="M75" i="7" s="1"/>
  <c r="M76" i="7" a="1"/>
  <c r="M76" i="7" s="1"/>
  <c r="M77" i="7" a="1"/>
  <c r="M77" i="7"/>
  <c r="M78" i="7" a="1"/>
  <c r="M78" i="7" s="1"/>
  <c r="M79" i="7" a="1"/>
  <c r="M79" i="7"/>
  <c r="M80" i="7" a="1"/>
  <c r="M80" i="7" s="1"/>
  <c r="M81" i="7" a="1"/>
  <c r="M81" i="7" s="1"/>
  <c r="M82" i="7" a="1"/>
  <c r="M82" i="7" s="1"/>
  <c r="M83" i="7" a="1"/>
  <c r="M83" i="7" s="1"/>
  <c r="M84" i="7" a="1"/>
  <c r="M84" i="7"/>
  <c r="M85" i="7" a="1"/>
  <c r="M85" i="7" s="1"/>
  <c r="M86" i="7" a="1"/>
  <c r="M86" i="7" s="1"/>
  <c r="M87" i="7" a="1"/>
  <c r="M87" i="7" s="1"/>
  <c r="M88" i="7" a="1"/>
  <c r="M88" i="7"/>
  <c r="M89" i="7" a="1"/>
  <c r="M89" i="7"/>
  <c r="M90" i="7" a="1"/>
  <c r="M90" i="7" s="1"/>
  <c r="M91" i="7" a="1"/>
  <c r="M91" i="7" s="1"/>
  <c r="M92" i="7" a="1"/>
  <c r="M92" i="7" s="1"/>
  <c r="M93" i="7" a="1"/>
  <c r="M93" i="7" s="1"/>
  <c r="M94" i="7" a="1"/>
  <c r="M94" i="7"/>
  <c r="M95" i="7" a="1"/>
  <c r="M95" i="7"/>
  <c r="M96" i="7" a="1"/>
  <c r="M96" i="7" s="1"/>
  <c r="M97" i="7" a="1"/>
  <c r="M97" i="7"/>
  <c r="M98" i="7" a="1"/>
  <c r="M98" i="7"/>
  <c r="M99" i="7" a="1"/>
  <c r="M99" i="7" s="1"/>
  <c r="M100" i="7" a="1"/>
  <c r="M100" i="7" s="1"/>
  <c r="M101" i="7" a="1"/>
  <c r="M101" i="7" s="1"/>
  <c r="M102" i="7" a="1"/>
  <c r="M102" i="7" s="1"/>
  <c r="M103" i="7" a="1"/>
  <c r="M103" i="7" s="1"/>
  <c r="M104" i="7" a="1"/>
  <c r="M104" i="7" s="1"/>
  <c r="M105" i="7" a="1"/>
  <c r="M105" i="7" s="1"/>
  <c r="M106" i="7" a="1"/>
  <c r="M106" i="7" s="1"/>
  <c r="M107" i="7" a="1"/>
  <c r="M107" i="7"/>
  <c r="M108" i="7" a="1"/>
  <c r="M108" i="7"/>
  <c r="M109" i="7" a="1"/>
  <c r="M109" i="7" s="1"/>
  <c r="M110" i="7" a="1"/>
  <c r="M110" i="7" s="1"/>
  <c r="M111" i="7" a="1"/>
  <c r="M111" i="7" s="1"/>
  <c r="M112" i="7" a="1"/>
  <c r="M112" i="7" s="1"/>
  <c r="M113" i="7" a="1"/>
  <c r="M113" i="7" s="1"/>
  <c r="M114" i="7" a="1"/>
  <c r="M114" i="7" s="1"/>
  <c r="M115" i="7" a="1"/>
  <c r="M115" i="7" s="1"/>
  <c r="M116" i="7" a="1"/>
  <c r="M116" i="7"/>
  <c r="M117" i="7" a="1"/>
  <c r="M117" i="7" s="1"/>
  <c r="M118" i="7" a="1"/>
  <c r="M118" i="7" s="1"/>
  <c r="M119" i="7" a="1"/>
  <c r="M119" i="7"/>
  <c r="M120" i="7" a="1"/>
  <c r="M120" i="7"/>
  <c r="M121" i="7" a="1"/>
  <c r="M121" i="7"/>
  <c r="M122" i="7" a="1"/>
  <c r="M122" i="7" s="1"/>
  <c r="M123" i="7" a="1"/>
  <c r="M123" i="7" s="1"/>
  <c r="M124" i="7" a="1"/>
  <c r="M124" i="7" s="1"/>
  <c r="M125" i="7" a="1"/>
  <c r="M125" i="7" s="1"/>
  <c r="M126" i="7" a="1"/>
  <c r="M126" i="7" s="1"/>
  <c r="M127" i="7" a="1"/>
  <c r="M127" i="7"/>
  <c r="M128" i="7" a="1"/>
  <c r="M128" i="7" s="1"/>
  <c r="M129" i="7" a="1"/>
  <c r="M129" i="7" s="1"/>
  <c r="M130" i="7" a="1"/>
  <c r="M130" i="7"/>
  <c r="M131" i="7" a="1"/>
  <c r="M131" i="7"/>
  <c r="M132" i="7" a="1"/>
  <c r="M132" i="7" s="1"/>
  <c r="M133" i="7" a="1"/>
  <c r="M133" i="7" s="1"/>
  <c r="M134" i="7" a="1"/>
  <c r="M134" i="7" s="1"/>
  <c r="M135" i="7" a="1"/>
  <c r="M135" i="7" s="1"/>
  <c r="M136" i="7" a="1"/>
  <c r="M136" i="7" s="1"/>
  <c r="M137" i="7" a="1"/>
  <c r="M137" i="7" s="1"/>
  <c r="M138" i="7" a="1"/>
  <c r="M138" i="7" s="1"/>
  <c r="M139" i="7" a="1"/>
  <c r="M139" i="7" s="1"/>
  <c r="M140" i="7" a="1"/>
  <c r="M140" i="7" s="1"/>
  <c r="M141" i="7" a="1"/>
  <c r="M141" i="7" s="1"/>
  <c r="M142" i="7" a="1"/>
  <c r="M142" i="7" s="1"/>
  <c r="M143" i="7" a="1"/>
  <c r="M143" i="7" s="1"/>
  <c r="M144" i="7" a="1"/>
  <c r="M144" i="7" s="1"/>
  <c r="M145" i="7" a="1"/>
  <c r="M145" i="7" s="1"/>
  <c r="M146" i="7" a="1"/>
  <c r="M146" i="7" s="1"/>
  <c r="M147" i="7" a="1"/>
  <c r="M147" i="7"/>
  <c r="M148" i="7" a="1"/>
  <c r="M148" i="7"/>
  <c r="M149" i="7" a="1"/>
  <c r="M149" i="7"/>
  <c r="M150" i="7" a="1"/>
  <c r="M150" i="7" s="1"/>
  <c r="M151" i="7" a="1"/>
  <c r="M151" i="7"/>
  <c r="M152" i="7" a="1"/>
  <c r="M152" i="7"/>
  <c r="M153" i="7" a="1"/>
  <c r="M153" i="7" s="1"/>
  <c r="M154" i="7" a="1"/>
  <c r="M154" i="7" s="1"/>
  <c r="M155" i="7" a="1"/>
  <c r="M155" i="7" s="1"/>
  <c r="M156" i="7" a="1"/>
  <c r="M156" i="7"/>
  <c r="M157" i="7" a="1"/>
  <c r="M157" i="7" s="1"/>
  <c r="M158" i="7" a="1"/>
  <c r="M158" i="7" s="1"/>
  <c r="M159" i="7" a="1"/>
  <c r="M159" i="7" s="1"/>
  <c r="M160" i="7" a="1"/>
  <c r="M160" i="7"/>
  <c r="M161" i="7" a="1"/>
  <c r="M161" i="7"/>
  <c r="M162" i="7" a="1"/>
  <c r="M162" i="7" s="1"/>
  <c r="M163" i="7" a="1"/>
  <c r="M163" i="7"/>
  <c r="M164" i="7" a="1"/>
  <c r="M164" i="7" s="1"/>
  <c r="M165" i="7" a="1"/>
  <c r="M165" i="7" s="1"/>
  <c r="M166" i="7" a="1"/>
  <c r="M166" i="7" s="1"/>
  <c r="M167" i="7" a="1"/>
  <c r="M167" i="7" s="1"/>
  <c r="M168" i="7" a="1"/>
  <c r="M168" i="7" s="1"/>
  <c r="M169" i="7" a="1"/>
  <c r="M169" i="7" s="1"/>
  <c r="M170" i="7" a="1"/>
  <c r="M170" i="7" s="1"/>
  <c r="M171" i="7" a="1"/>
  <c r="M171" i="7"/>
  <c r="M172" i="7" a="1"/>
  <c r="M172" i="7" s="1"/>
  <c r="M173" i="7" a="1"/>
  <c r="M173" i="7" s="1"/>
  <c r="M174" i="7" a="1"/>
  <c r="M174" i="7" s="1"/>
  <c r="M175" i="7" a="1"/>
  <c r="M175" i="7" s="1"/>
  <c r="M176" i="7" a="1"/>
  <c r="M176" i="7" s="1"/>
  <c r="M177" i="7" a="1"/>
  <c r="M177" i="7"/>
  <c r="M178" i="7" a="1"/>
  <c r="M178" i="7" s="1"/>
  <c r="M179" i="7" a="1"/>
  <c r="M179" i="7" s="1"/>
  <c r="M180" i="7" a="1"/>
  <c r="M180" i="7"/>
  <c r="M181" i="7" a="1"/>
  <c r="M181" i="7" s="1"/>
  <c r="M182" i="7" a="1"/>
  <c r="M182" i="7"/>
  <c r="M183" i="7" a="1"/>
  <c r="M183" i="7" s="1"/>
  <c r="M184" i="7" a="1"/>
  <c r="M184" i="7" s="1"/>
  <c r="M185" i="7" a="1"/>
  <c r="M185" i="7" s="1"/>
  <c r="M186" i="7" a="1"/>
  <c r="M186" i="7"/>
  <c r="M187" i="7" a="1"/>
  <c r="M187" i="7" s="1"/>
  <c r="M188" i="7" a="1"/>
  <c r="M188" i="7" s="1"/>
  <c r="M189" i="7" a="1"/>
  <c r="M189" i="7" s="1"/>
  <c r="M190" i="7" a="1"/>
  <c r="M190" i="7" s="1"/>
  <c r="M191" i="7" a="1"/>
  <c r="M191" i="7" s="1"/>
  <c r="M192" i="7" a="1"/>
  <c r="M192" i="7"/>
  <c r="M193" i="7" a="1"/>
  <c r="M193" i="7"/>
  <c r="M194" i="7" a="1"/>
  <c r="M194" i="7" s="1"/>
  <c r="M195" i="7" a="1"/>
  <c r="M195" i="7"/>
  <c r="M196" i="7" a="1"/>
  <c r="M196" i="7"/>
  <c r="M197" i="7" a="1"/>
  <c r="M197" i="7"/>
  <c r="M198" i="7" a="1"/>
  <c r="M198" i="7" s="1"/>
  <c r="M199" i="7" a="1"/>
  <c r="M199" i="7"/>
  <c r="M200" i="7" a="1"/>
  <c r="M200" i="7" s="1"/>
  <c r="M201" i="7" a="1"/>
  <c r="M201" i="7" s="1"/>
  <c r="M202" i="7" a="1"/>
  <c r="M202" i="7" s="1"/>
  <c r="M203" i="7" a="1"/>
  <c r="M203" i="7" s="1"/>
  <c r="M204" i="7" a="1"/>
  <c r="M204" i="7" s="1"/>
  <c r="M205" i="7" a="1"/>
  <c r="M205" i="7" s="1"/>
  <c r="M206" i="7" a="1"/>
  <c r="M206" i="7"/>
  <c r="M207" i="7" a="1"/>
  <c r="M207" i="7" s="1"/>
  <c r="M208" i="7" a="1"/>
  <c r="M208" i="7" s="1"/>
  <c r="M209" i="7" a="1"/>
  <c r="M209" i="7" s="1"/>
  <c r="M210" i="7" a="1"/>
  <c r="M210" i="7"/>
  <c r="M211" i="7" a="1"/>
  <c r="M211" i="7" s="1"/>
  <c r="M212" i="7" a="1"/>
  <c r="M212" i="7" s="1"/>
  <c r="M213" i="7" a="1"/>
  <c r="M213" i="7" s="1"/>
  <c r="M214" i="7" a="1"/>
  <c r="M214" i="7" s="1"/>
  <c r="M215" i="7" a="1"/>
  <c r="M215" i="7" s="1"/>
  <c r="M216" i="7" a="1"/>
  <c r="M216" i="7"/>
  <c r="M217" i="7" a="1"/>
  <c r="M217" i="7" s="1"/>
  <c r="M218" i="7" a="1"/>
  <c r="M218" i="7" s="1"/>
  <c r="M219" i="7" a="1"/>
  <c r="M219" i="7"/>
  <c r="M220" i="7" a="1"/>
  <c r="M220" i="7" s="1"/>
  <c r="M221" i="7" a="1"/>
  <c r="M221" i="7"/>
  <c r="M222" i="7" a="1"/>
  <c r="M222" i="7"/>
  <c r="M223" i="7" a="1"/>
  <c r="M223" i="7" s="1"/>
  <c r="M224" i="7" a="1"/>
  <c r="M224" i="7" s="1"/>
  <c r="M225" i="7" a="1"/>
  <c r="M225" i="7" s="1"/>
  <c r="M226" i="7" a="1"/>
  <c r="M226" i="7" s="1"/>
  <c r="M227" i="7" a="1"/>
  <c r="M227" i="7" s="1"/>
  <c r="M228" i="7" a="1"/>
  <c r="M228" i="7" s="1"/>
  <c r="M229" i="7" a="1"/>
  <c r="M229" i="7" s="1"/>
  <c r="M230" i="7" a="1"/>
  <c r="M230" i="7" s="1"/>
  <c r="M231" i="7" a="1"/>
  <c r="M231" i="7" s="1"/>
  <c r="M232" i="7" a="1"/>
  <c r="M232" i="7" s="1"/>
  <c r="M233" i="7" a="1"/>
  <c r="M233" i="7" s="1"/>
  <c r="M234" i="7" a="1"/>
  <c r="M234" i="7" s="1"/>
  <c r="M235" i="7" a="1"/>
  <c r="M235" i="7" s="1"/>
  <c r="M236" i="7" a="1"/>
  <c r="M236" i="7"/>
  <c r="M237" i="7" a="1"/>
  <c r="M237" i="7" s="1"/>
  <c r="M238" i="7" a="1"/>
  <c r="M238" i="7"/>
  <c r="M239" i="7" a="1"/>
  <c r="M239" i="7"/>
  <c r="M240" i="7" a="1"/>
  <c r="M240" i="7" s="1"/>
  <c r="M241" i="7" a="1"/>
  <c r="M241" i="7" s="1"/>
  <c r="M242" i="7" a="1"/>
  <c r="M242" i="7" s="1"/>
  <c r="M243" i="7" a="1"/>
  <c r="M243" i="7" s="1"/>
  <c r="M244" i="7" a="1"/>
  <c r="M244" i="7" s="1"/>
  <c r="M245" i="7" a="1"/>
  <c r="M245" i="7" s="1"/>
  <c r="M246" i="7" a="1"/>
  <c r="M246" i="7" s="1"/>
  <c r="M247" i="7" a="1"/>
  <c r="M247" i="7" s="1"/>
  <c r="M248" i="7" a="1"/>
  <c r="M248" i="7"/>
  <c r="M249" i="7" a="1"/>
  <c r="M249" i="7" s="1"/>
  <c r="M250" i="7" a="1"/>
  <c r="M250" i="7" s="1"/>
  <c r="M251" i="7" a="1"/>
  <c r="M251" i="7" s="1"/>
  <c r="M252" i="7" a="1"/>
  <c r="M252" i="7"/>
  <c r="M253" i="7" a="1"/>
  <c r="M253" i="7" s="1"/>
  <c r="M254" i="7" a="1"/>
  <c r="M254" i="7" s="1"/>
  <c r="M255" i="7" a="1"/>
  <c r="M255" i="7"/>
  <c r="M256" i="7" a="1"/>
  <c r="M256" i="7" s="1"/>
  <c r="M257" i="7" a="1"/>
  <c r="M257" i="7" s="1"/>
  <c r="M258" i="7" a="1"/>
  <c r="M258" i="7" s="1"/>
  <c r="M259" i="7" a="1"/>
  <c r="M259" i="7" s="1"/>
  <c r="M260" i="7" a="1"/>
  <c r="M260" i="7"/>
  <c r="M261" i="7" a="1"/>
  <c r="M261" i="7" s="1"/>
  <c r="M262" i="7" a="1"/>
  <c r="M262" i="7"/>
  <c r="M263" i="7" a="1"/>
  <c r="M263" i="7" s="1"/>
  <c r="M264" i="7" a="1"/>
  <c r="M264" i="7" s="1"/>
  <c r="M265" i="7" a="1"/>
  <c r="M265" i="7" s="1"/>
  <c r="M266" i="7" a="1"/>
  <c r="M266" i="7" s="1"/>
  <c r="M267" i="7" a="1"/>
  <c r="M267" i="7" s="1"/>
  <c r="M268" i="7" a="1"/>
  <c r="M268" i="7" s="1"/>
  <c r="M269" i="7" a="1"/>
  <c r="M269" i="7"/>
  <c r="M270" i="7" a="1"/>
  <c r="M270" i="7"/>
  <c r="M271" i="7" a="1"/>
  <c r="M271" i="7" s="1"/>
  <c r="M272" i="7" a="1"/>
  <c r="M272" i="7" s="1"/>
  <c r="M273" i="7" a="1"/>
  <c r="M273" i="7" s="1"/>
  <c r="M274" i="7" a="1"/>
  <c r="M274" i="7" s="1"/>
  <c r="M275" i="7" a="1"/>
  <c r="M275" i="7"/>
  <c r="M276" i="7" a="1"/>
  <c r="M276" i="7" s="1"/>
  <c r="M277" i="7" a="1"/>
  <c r="M277" i="7" s="1"/>
  <c r="M278" i="7" a="1"/>
  <c r="M278" i="7" s="1"/>
  <c r="M279" i="7" a="1"/>
  <c r="M279" i="7" s="1"/>
  <c r="M280" i="7" a="1"/>
  <c r="M280" i="7"/>
  <c r="M281" i="7" a="1"/>
  <c r="M281" i="7" s="1"/>
  <c r="M282" i="7" a="1"/>
  <c r="M282" i="7" s="1"/>
  <c r="M283" i="7" a="1"/>
  <c r="M283" i="7"/>
  <c r="M284" i="7" a="1"/>
  <c r="M284" i="7" s="1"/>
  <c r="M285" i="7" a="1"/>
  <c r="M285" i="7"/>
  <c r="M286" i="7" a="1"/>
  <c r="M286" i="7"/>
  <c r="M287" i="7" a="1"/>
  <c r="M287" i="7" s="1"/>
  <c r="M288" i="7" a="1"/>
  <c r="M288" i="7" s="1"/>
  <c r="M289" i="7" a="1"/>
  <c r="M289" i="7" s="1"/>
  <c r="M290" i="7" a="1"/>
  <c r="M290" i="7" s="1"/>
  <c r="M291" i="7" a="1"/>
  <c r="M291" i="7" s="1"/>
  <c r="M292" i="7" a="1"/>
  <c r="M292" i="7" s="1"/>
  <c r="M293" i="7" a="1"/>
  <c r="M293" i="7" s="1"/>
  <c r="M294" i="7" a="1"/>
  <c r="M294" i="7" s="1"/>
  <c r="M295" i="7" a="1"/>
  <c r="M295" i="7" s="1"/>
  <c r="M296" i="7" a="1"/>
  <c r="M296" i="7"/>
  <c r="M297" i="7" a="1"/>
  <c r="M297" i="7" s="1"/>
  <c r="M298" i="7" a="1"/>
  <c r="M298" i="7" s="1"/>
  <c r="M299" i="7" a="1"/>
  <c r="M299" i="7"/>
  <c r="M300" i="7" a="1"/>
  <c r="M300" i="7" s="1"/>
  <c r="M301" i="7" a="1"/>
  <c r="M301" i="7" s="1"/>
  <c r="M302" i="7" a="1"/>
  <c r="M302" i="7" s="1"/>
  <c r="M303" i="7" a="1"/>
  <c r="M303" i="7" s="1"/>
  <c r="M304" i="7" a="1"/>
  <c r="M304" i="7" s="1"/>
  <c r="M305" i="7" a="1"/>
  <c r="M305" i="7" s="1"/>
  <c r="M306" i="7" a="1"/>
  <c r="M306" i="7" s="1"/>
  <c r="M307" i="7" a="1"/>
  <c r="M307" i="7" s="1"/>
  <c r="M308" i="7" a="1"/>
  <c r="M308" i="7"/>
  <c r="M309" i="7" a="1"/>
  <c r="M309" i="7" s="1"/>
  <c r="M310" i="7" a="1"/>
  <c r="M310" i="7" s="1"/>
  <c r="M311" i="7" a="1"/>
  <c r="M311" i="7" s="1"/>
  <c r="M312" i="7" a="1"/>
  <c r="M312" i="7"/>
  <c r="M313" i="7" a="1"/>
  <c r="M313" i="7" s="1"/>
  <c r="M314" i="7" a="1"/>
  <c r="M314" i="7" s="1"/>
  <c r="M315" i="7" a="1"/>
  <c r="M315" i="7" s="1"/>
  <c r="M316" i="7" a="1"/>
  <c r="M316" i="7" s="1"/>
  <c r="M317" i="7" a="1"/>
  <c r="M317" i="7" s="1"/>
  <c r="M318" i="7" a="1"/>
  <c r="M318" i="7" s="1"/>
  <c r="M319" i="7" a="1"/>
  <c r="M319" i="7" s="1"/>
  <c r="M320" i="7" a="1"/>
  <c r="M320" i="7" s="1"/>
  <c r="M321" i="7" a="1"/>
  <c r="M321" i="7" s="1"/>
  <c r="M322" i="7" a="1"/>
  <c r="M322" i="7" s="1"/>
  <c r="M323" i="7" a="1"/>
  <c r="M323" i="7" s="1"/>
  <c r="M324" i="7" a="1"/>
  <c r="M324" i="7" s="1"/>
  <c r="M325" i="7" a="1"/>
  <c r="M325" i="7" s="1"/>
  <c r="M326" i="7" a="1"/>
  <c r="M326" i="7"/>
  <c r="M327" i="7" a="1"/>
  <c r="M327" i="7" s="1"/>
  <c r="M328" i="7" a="1"/>
  <c r="M328" i="7" s="1"/>
  <c r="M329" i="7" a="1"/>
  <c r="M329" i="7" s="1"/>
  <c r="M330" i="7" a="1"/>
  <c r="M330" i="7"/>
  <c r="M331" i="7" a="1"/>
  <c r="M331" i="7"/>
  <c r="M332" i="7" a="1"/>
  <c r="M332" i="7" s="1"/>
  <c r="M333" i="7" a="1"/>
  <c r="M333" i="7" s="1"/>
  <c r="M334" i="7" a="1"/>
  <c r="M334" i="7" s="1"/>
  <c r="M335" i="7" a="1"/>
  <c r="M335" i="7"/>
  <c r="M336" i="7" a="1"/>
  <c r="M336" i="7" s="1"/>
  <c r="M337" i="7" a="1"/>
  <c r="M337" i="7" s="1"/>
  <c r="M338" i="7" a="1"/>
  <c r="M338" i="7"/>
  <c r="M339" i="7" a="1"/>
  <c r="M339" i="7"/>
  <c r="M340" i="7" a="1"/>
  <c r="M340" i="7" s="1"/>
  <c r="M341" i="7" a="1"/>
  <c r="M341" i="7" s="1"/>
  <c r="M342" i="7" a="1"/>
  <c r="M342" i="7" s="1"/>
  <c r="M343" i="7" a="1"/>
  <c r="M343" i="7"/>
  <c r="M344" i="7" a="1"/>
  <c r="M344" i="7" s="1"/>
  <c r="M345" i="7" a="1"/>
  <c r="M345" i="7" s="1"/>
  <c r="M346" i="7" a="1"/>
  <c r="M346" i="7" s="1"/>
  <c r="M347" i="7" a="1"/>
  <c r="M347" i="7"/>
  <c r="M348" i="7" a="1"/>
  <c r="M348" i="7" s="1"/>
  <c r="M349" i="7" a="1"/>
  <c r="M349" i="7" s="1"/>
  <c r="M350" i="7" a="1"/>
  <c r="M350" i="7" s="1"/>
  <c r="M351" i="7" a="1"/>
  <c r="M351" i="7"/>
  <c r="M352" i="7" a="1"/>
  <c r="M352" i="7" s="1"/>
  <c r="M353" i="7" a="1"/>
  <c r="M353" i="7"/>
  <c r="M354" i="7" a="1"/>
  <c r="M354" i="7" s="1"/>
  <c r="M355" i="7" a="1"/>
  <c r="M355" i="7"/>
  <c r="M356" i="7" a="1"/>
  <c r="M356" i="7" s="1"/>
  <c r="M357" i="7" a="1"/>
  <c r="M357" i="7" s="1"/>
  <c r="M358" i="7" a="1"/>
  <c r="M358" i="7" s="1"/>
  <c r="M359" i="7" a="1"/>
  <c r="M359" i="7"/>
  <c r="M360" i="7" a="1"/>
  <c r="M360" i="7" s="1"/>
  <c r="M361" i="7" a="1"/>
  <c r="M361" i="7"/>
  <c r="M362" i="7" a="1"/>
  <c r="M362" i="7" s="1"/>
  <c r="M363" i="7" a="1"/>
  <c r="M363" i="7" s="1"/>
  <c r="M364" i="7" a="1"/>
  <c r="M364" i="7" s="1"/>
  <c r="M365" i="7" a="1"/>
  <c r="M365" i="7" s="1"/>
  <c r="M366" i="7" a="1"/>
  <c r="M366" i="7" s="1"/>
  <c r="M367" i="7" a="1"/>
  <c r="M367" i="7" s="1"/>
  <c r="M368" i="7" a="1"/>
  <c r="M368" i="7" s="1"/>
  <c r="M369" i="7" a="1"/>
  <c r="M369" i="7"/>
  <c r="M370" i="7" a="1"/>
  <c r="M370" i="7" s="1"/>
  <c r="M371" i="7" a="1"/>
  <c r="M371" i="7" s="1"/>
  <c r="M372" i="7" a="1"/>
  <c r="M372" i="7"/>
  <c r="M373" i="7" a="1"/>
  <c r="M373" i="7" s="1"/>
  <c r="M374" i="7" a="1"/>
  <c r="M374" i="7" s="1"/>
  <c r="M375" i="7" a="1"/>
  <c r="M375" i="7" s="1"/>
  <c r="M376" i="7" a="1"/>
  <c r="M376" i="7" s="1"/>
  <c r="M377" i="7" a="1"/>
  <c r="M377" i="7" s="1"/>
  <c r="M378" i="7" a="1"/>
  <c r="M378" i="7" s="1"/>
  <c r="M379" i="7" a="1"/>
  <c r="M379" i="7"/>
  <c r="M380" i="7" a="1"/>
  <c r="M380" i="7" s="1"/>
  <c r="M381" i="7" a="1"/>
  <c r="M381" i="7" s="1"/>
  <c r="M382" i="7" a="1"/>
  <c r="M382" i="7"/>
  <c r="M383" i="7" a="1"/>
  <c r="M383" i="7" s="1"/>
  <c r="M384" i="7" a="1"/>
  <c r="M384" i="7" s="1"/>
  <c r="M385" i="7" a="1"/>
  <c r="M385" i="7"/>
  <c r="M386" i="7" a="1"/>
  <c r="M386" i="7"/>
  <c r="M387" i="7" a="1"/>
  <c r="M387" i="7" s="1"/>
  <c r="M388" i="7" a="1"/>
  <c r="M388" i="7" s="1"/>
  <c r="M389" i="7" a="1"/>
  <c r="M389" i="7" s="1"/>
  <c r="M390" i="7" a="1"/>
  <c r="M390" i="7"/>
  <c r="M391" i="7" a="1"/>
  <c r="M391" i="7" s="1"/>
  <c r="M392" i="7" a="1"/>
  <c r="M392" i="7" s="1"/>
  <c r="M393" i="7" a="1"/>
  <c r="M393" i="7" s="1"/>
  <c r="M394" i="7" a="1"/>
  <c r="M394" i="7" s="1"/>
  <c r="M395" i="7" a="1"/>
  <c r="M395" i="7" s="1"/>
  <c r="M396" i="7" a="1"/>
  <c r="M396" i="7" s="1"/>
  <c r="M397" i="7" a="1"/>
  <c r="M397" i="7" s="1"/>
  <c r="M398" i="7" a="1"/>
  <c r="M398" i="7"/>
  <c r="M399" i="7" a="1"/>
  <c r="M399" i="7" s="1"/>
  <c r="M400" i="7" a="1"/>
  <c r="M400" i="7" s="1"/>
  <c r="M401" i="7" a="1"/>
  <c r="M401" i="7"/>
  <c r="M402" i="7" a="1"/>
  <c r="M402" i="7" s="1"/>
  <c r="M403" i="7" a="1"/>
  <c r="M403" i="7"/>
  <c r="M404" i="7" a="1"/>
  <c r="M404" i="7" s="1"/>
  <c r="M405" i="7" a="1"/>
  <c r="M405" i="7" s="1"/>
  <c r="M406" i="7" a="1"/>
  <c r="M406" i="7" s="1"/>
  <c r="M407" i="7" a="1"/>
  <c r="M407" i="7"/>
  <c r="M408" i="7" a="1"/>
  <c r="M408" i="7" s="1"/>
  <c r="M409" i="7" a="1"/>
  <c r="M409" i="7" s="1"/>
  <c r="M410" i="7" a="1"/>
  <c r="M410" i="7" s="1"/>
  <c r="M411" i="7" a="1"/>
  <c r="M411" i="7" s="1"/>
  <c r="M412" i="7" a="1"/>
  <c r="M412" i="7" s="1"/>
  <c r="M413" i="7" a="1"/>
  <c r="M413" i="7"/>
  <c r="M414" i="7" a="1"/>
  <c r="M414" i="7" s="1"/>
  <c r="M415" i="7" a="1"/>
  <c r="M415" i="7"/>
  <c r="M416" i="7" a="1"/>
  <c r="M416" i="7"/>
  <c r="M417" i="7" a="1"/>
  <c r="M417" i="7"/>
  <c r="M418" i="7" a="1"/>
  <c r="M418" i="7" s="1"/>
  <c r="M419" i="7" a="1"/>
  <c r="M419" i="7" s="1"/>
  <c r="M420" i="7" a="1"/>
  <c r="M420" i="7" s="1"/>
  <c r="M421" i="7" a="1"/>
  <c r="M421" i="7" s="1"/>
  <c r="M422" i="7" a="1"/>
  <c r="M422" i="7" s="1"/>
  <c r="M423" i="7" a="1"/>
  <c r="M423" i="7"/>
  <c r="M424" i="7" a="1"/>
  <c r="M424" i="7" s="1"/>
  <c r="M425" i="7" a="1"/>
  <c r="M425" i="7"/>
  <c r="M426" i="7" a="1"/>
  <c r="M426" i="7" s="1"/>
  <c r="M427" i="7" a="1"/>
  <c r="M427" i="7"/>
  <c r="M428" i="7" a="1"/>
  <c r="M428" i="7"/>
  <c r="M429" i="7" a="1"/>
  <c r="M429" i="7" s="1"/>
  <c r="M430" i="7" a="1"/>
  <c r="M430" i="7" s="1"/>
  <c r="M431" i="7" a="1"/>
  <c r="M431" i="7" s="1"/>
  <c r="M432" i="7" a="1"/>
  <c r="M432" i="7" s="1"/>
  <c r="M433" i="7" a="1"/>
  <c r="M433" i="7" s="1"/>
  <c r="M434" i="7" a="1"/>
  <c r="M434" i="7" s="1"/>
  <c r="M435" i="7" a="1"/>
  <c r="M435" i="7" s="1"/>
  <c r="M436" i="7" a="1"/>
  <c r="M436" i="7" s="1"/>
  <c r="M437" i="7" a="1"/>
  <c r="M437" i="7"/>
  <c r="M438" i="7" a="1"/>
  <c r="M438" i="7" s="1"/>
  <c r="M439" i="7" a="1"/>
  <c r="M439" i="7" s="1"/>
  <c r="M440" i="7" a="1"/>
  <c r="M440" i="7" s="1"/>
  <c r="M441" i="7" a="1"/>
  <c r="M441" i="7" s="1"/>
  <c r="M442" i="7" a="1"/>
  <c r="M442" i="7" s="1"/>
  <c r="M443" i="7" a="1"/>
  <c r="M443" i="7" s="1"/>
  <c r="M444" i="7" a="1"/>
  <c r="M444" i="7" s="1"/>
  <c r="M445" i="7" a="1"/>
  <c r="M445" i="7"/>
  <c r="M446" i="7" a="1"/>
  <c r="M446" i="7" s="1"/>
  <c r="M447" i="7" a="1"/>
  <c r="M447" i="7"/>
  <c r="M448" i="7" a="1"/>
  <c r="M448" i="7" s="1"/>
  <c r="M449" i="7" a="1"/>
  <c r="M449" i="7" s="1"/>
  <c r="M450" i="7" a="1"/>
  <c r="M450" i="7" s="1"/>
  <c r="M451" i="7" a="1"/>
  <c r="M451" i="7" s="1"/>
  <c r="M452" i="7" a="1"/>
  <c r="M452" i="7" s="1"/>
  <c r="M453" i="7" a="1"/>
  <c r="M453" i="7"/>
  <c r="M454" i="7" a="1"/>
  <c r="M454" i="7" s="1"/>
  <c r="M455" i="7" a="1"/>
  <c r="M455" i="7" s="1"/>
  <c r="M456" i="7" a="1"/>
  <c r="M456" i="7" s="1"/>
  <c r="M457" i="7" a="1"/>
  <c r="M457" i="7"/>
  <c r="M458" i="7" a="1"/>
  <c r="M458" i="7" s="1"/>
  <c r="M459" i="7" a="1"/>
  <c r="M459" i="7" s="1"/>
  <c r="M460" i="7" a="1"/>
  <c r="M460" i="7"/>
  <c r="M461" i="7" a="1"/>
  <c r="M461" i="7"/>
  <c r="M462" i="7" a="1"/>
  <c r="M462" i="7" s="1"/>
  <c r="M463" i="7" a="1"/>
  <c r="M463" i="7" s="1"/>
  <c r="M464" i="7" a="1"/>
  <c r="M464" i="7" s="1"/>
  <c r="M465" i="7" a="1"/>
  <c r="M465" i="7" s="1"/>
  <c r="M466" i="7" a="1"/>
  <c r="M466" i="7" s="1"/>
  <c r="M467" i="7" a="1"/>
  <c r="M467" i="7"/>
  <c r="M468" i="7" a="1"/>
  <c r="M468" i="7"/>
  <c r="M469" i="7" a="1"/>
  <c r="M469" i="7" s="1"/>
  <c r="M470" i="7" a="1"/>
  <c r="M470" i="7" s="1"/>
  <c r="M471" i="7" a="1"/>
  <c r="M471" i="7" s="1"/>
  <c r="M472" i="7" a="1"/>
  <c r="M472" i="7" s="1"/>
  <c r="M473" i="7" a="1"/>
  <c r="M473" i="7" s="1"/>
  <c r="M474" i="7" a="1"/>
  <c r="M474" i="7" s="1"/>
  <c r="M475" i="7" a="1"/>
  <c r="M475" i="7" s="1"/>
  <c r="M476" i="7" a="1"/>
  <c r="M476" i="7" s="1"/>
  <c r="M477" i="7" a="1"/>
  <c r="M477" i="7"/>
  <c r="M478" i="7" a="1"/>
  <c r="M478" i="7" s="1"/>
  <c r="M479" i="7" a="1"/>
  <c r="M479" i="7"/>
  <c r="M480" i="7" a="1"/>
  <c r="M480" i="7" s="1"/>
  <c r="M481" i="7" a="1"/>
  <c r="M481" i="7" s="1"/>
  <c r="M482" i="7" a="1"/>
  <c r="M482" i="7" s="1"/>
  <c r="M483" i="7" a="1"/>
  <c r="M483" i="7"/>
  <c r="M484" i="7" a="1"/>
  <c r="M484" i="7" s="1"/>
  <c r="M485" i="7" a="1"/>
  <c r="M485" i="7" s="1"/>
  <c r="M486" i="7" a="1"/>
  <c r="M486" i="7" s="1"/>
  <c r="M487" i="7" a="1"/>
  <c r="M487" i="7" s="1"/>
  <c r="M488" i="7" a="1"/>
  <c r="M488" i="7" s="1"/>
  <c r="M489" i="7" a="1"/>
  <c r="M489" i="7" s="1"/>
  <c r="M490" i="7" a="1"/>
  <c r="M490" i="7" s="1"/>
  <c r="M491" i="7" a="1"/>
  <c r="M491" i="7"/>
  <c r="M492" i="7" a="1"/>
  <c r="M492" i="7" s="1"/>
  <c r="M493" i="7" a="1"/>
  <c r="M493" i="7" s="1"/>
  <c r="M494" i="7" a="1"/>
  <c r="M494" i="7" s="1"/>
  <c r="M495" i="7" a="1"/>
  <c r="M495" i="7" s="1"/>
  <c r="M496" i="7" a="1"/>
  <c r="M496" i="7" s="1"/>
  <c r="M497" i="7" a="1"/>
  <c r="M497" i="7" s="1"/>
  <c r="M498" i="7" a="1"/>
  <c r="M498" i="7" s="1"/>
  <c r="M499" i="7" a="1"/>
  <c r="M499" i="7" s="1"/>
  <c r="M500" i="7" a="1"/>
  <c r="M500" i="7" s="1"/>
  <c r="M501" i="7" a="1"/>
  <c r="M501" i="7" s="1"/>
  <c r="M502" i="7" a="1"/>
  <c r="M502" i="7" s="1"/>
  <c r="M503" i="7" a="1"/>
  <c r="M503" i="7" s="1"/>
  <c r="M504" i="7" a="1"/>
  <c r="M504" i="7" s="1"/>
  <c r="M505" i="7" a="1"/>
  <c r="M505" i="7"/>
  <c r="M506" i="7" a="1"/>
  <c r="M506" i="7"/>
  <c r="M507" i="7" a="1"/>
  <c r="M507" i="7"/>
  <c r="M508" i="7" a="1"/>
  <c r="M508" i="7" s="1"/>
  <c r="M509" i="7" a="1"/>
  <c r="M509" i="7" s="1"/>
  <c r="M510" i="7" a="1"/>
  <c r="M510" i="7" s="1"/>
  <c r="M511" i="7" a="1"/>
  <c r="M511" i="7" s="1"/>
  <c r="M512" i="7" a="1"/>
  <c r="M512" i="7" s="1"/>
  <c r="M513" i="7" a="1"/>
  <c r="M513" i="7" s="1"/>
  <c r="M514" i="7" a="1"/>
  <c r="M514" i="7" s="1"/>
  <c r="M515" i="7" a="1"/>
  <c r="M515" i="7" s="1"/>
  <c r="M516" i="7" a="1"/>
  <c r="M516" i="7"/>
  <c r="M517" i="7" a="1"/>
  <c r="M517" i="7" s="1"/>
  <c r="M518" i="7" a="1"/>
  <c r="M518" i="7"/>
  <c r="M519" i="7" a="1"/>
  <c r="M519" i="7" s="1"/>
  <c r="M520" i="7" a="1"/>
  <c r="M520" i="7" s="1"/>
  <c r="M521" i="7" a="1"/>
  <c r="M521" i="7" s="1"/>
  <c r="M522" i="7" a="1"/>
  <c r="M522" i="7"/>
  <c r="M523" i="7" a="1"/>
  <c r="M523" i="7"/>
  <c r="M524" i="7" a="1"/>
  <c r="M524" i="7" s="1"/>
  <c r="M525" i="7" a="1"/>
  <c r="M525" i="7" s="1"/>
  <c r="M526" i="7" a="1"/>
  <c r="M526" i="7" s="1"/>
  <c r="M527" i="7" a="1"/>
  <c r="M527" i="7"/>
  <c r="M528" i="7" a="1"/>
  <c r="M528" i="7" s="1"/>
  <c r="M529" i="7" a="1"/>
  <c r="M529" i="7" s="1"/>
  <c r="M530" i="7" a="1"/>
  <c r="M530" i="7"/>
  <c r="M531" i="7" a="1"/>
  <c r="M531" i="7" s="1"/>
  <c r="M532" i="7" a="1"/>
  <c r="M532" i="7" s="1"/>
  <c r="M533" i="7" a="1"/>
  <c r="M533" i="7"/>
  <c r="M534" i="7" a="1"/>
  <c r="M534" i="7" s="1"/>
  <c r="M535" i="7" a="1"/>
  <c r="M535" i="7" s="1"/>
  <c r="M536" i="7" a="1"/>
  <c r="M536" i="7"/>
  <c r="M537" i="7" a="1"/>
  <c r="M537" i="7" s="1"/>
  <c r="M538" i="7" a="1"/>
  <c r="M538" i="7" s="1"/>
  <c r="M539" i="7" a="1"/>
  <c r="M539" i="7"/>
  <c r="M540" i="7" a="1"/>
  <c r="M540" i="7" s="1"/>
  <c r="M541" i="7" a="1"/>
  <c r="M541" i="7" s="1"/>
  <c r="M542" i="7" a="1"/>
  <c r="M542" i="7" s="1"/>
  <c r="M543" i="7" a="1"/>
  <c r="M543" i="7"/>
  <c r="M544" i="7" a="1"/>
  <c r="M544" i="7" s="1"/>
  <c r="M545" i="7" a="1"/>
  <c r="M545" i="7" s="1"/>
  <c r="M546" i="7" a="1"/>
  <c r="M546" i="7" s="1"/>
  <c r="M547" i="7" a="1"/>
  <c r="M547" i="7" s="1"/>
  <c r="M548" i="7" a="1"/>
  <c r="M548" i="7" s="1"/>
  <c r="M549" i="7" a="1"/>
  <c r="M549" i="7"/>
  <c r="M550" i="7" a="1"/>
  <c r="M550" i="7" s="1"/>
  <c r="M551" i="7" a="1"/>
  <c r="M551" i="7"/>
  <c r="M552" i="7" a="1"/>
  <c r="M552" i="7" s="1"/>
  <c r="M553" i="7" a="1"/>
  <c r="M553" i="7" s="1"/>
  <c r="M554" i="7" a="1"/>
  <c r="M554" i="7" s="1"/>
  <c r="M555" i="7" a="1"/>
  <c r="M555" i="7" s="1"/>
  <c r="M556" i="7" a="1"/>
  <c r="M556" i="7" s="1"/>
  <c r="M557" i="7" a="1"/>
  <c r="M557" i="7" s="1"/>
  <c r="M558" i="7" a="1"/>
  <c r="M558" i="7" s="1"/>
  <c r="M559" i="7" a="1"/>
  <c r="M559" i="7" s="1"/>
  <c r="M560" i="7" a="1"/>
  <c r="M560" i="7"/>
  <c r="M561" i="7" a="1"/>
  <c r="M561" i="7" s="1"/>
  <c r="M562" i="7" a="1"/>
  <c r="M562" i="7" s="1"/>
  <c r="M563" i="7" a="1"/>
  <c r="M563" i="7" s="1"/>
  <c r="M564" i="7" a="1"/>
  <c r="M564" i="7" s="1"/>
  <c r="M565" i="7" a="1"/>
  <c r="M565" i="7" s="1"/>
  <c r="M566" i="7" a="1"/>
  <c r="M566" i="7" s="1"/>
  <c r="M567" i="7" a="1"/>
  <c r="M567" i="7" s="1"/>
  <c r="M568" i="7" a="1"/>
  <c r="M568" i="7" s="1"/>
  <c r="M569" i="7" a="1"/>
  <c r="M569" i="7"/>
  <c r="M570" i="7" a="1"/>
  <c r="M570" i="7" s="1"/>
  <c r="M571" i="7" a="1"/>
  <c r="M571" i="7" s="1"/>
  <c r="M572" i="7" a="1"/>
  <c r="M572" i="7" s="1"/>
  <c r="M573" i="7" a="1"/>
  <c r="M573" i="7"/>
  <c r="M574" i="7" a="1"/>
  <c r="M574" i="7" s="1"/>
  <c r="M575" i="7" a="1"/>
  <c r="M575" i="7" s="1"/>
  <c r="M576" i="7" a="1"/>
  <c r="M576" i="7" s="1"/>
  <c r="M577" i="7" a="1"/>
  <c r="M577" i="7" s="1"/>
  <c r="M578" i="7" a="1"/>
  <c r="M578" i="7" s="1"/>
  <c r="M579" i="7" a="1"/>
  <c r="M579" i="7" s="1"/>
  <c r="M580" i="7" a="1"/>
  <c r="M580" i="7" s="1"/>
  <c r="M581" i="7" a="1"/>
  <c r="M581" i="7"/>
  <c r="M582" i="7" a="1"/>
  <c r="M582" i="7"/>
  <c r="M583" i="7" a="1"/>
  <c r="M583" i="7"/>
  <c r="M584" i="7" a="1"/>
  <c r="M584" i="7" s="1"/>
  <c r="M585" i="7" a="1"/>
  <c r="M585" i="7"/>
  <c r="M586" i="7" a="1"/>
  <c r="M586" i="7" s="1"/>
  <c r="M587" i="7" a="1"/>
  <c r="M587" i="7" s="1"/>
  <c r="M588" i="7" a="1"/>
  <c r="M588" i="7" s="1"/>
  <c r="M589" i="7" a="1"/>
  <c r="M589" i="7" s="1"/>
  <c r="M590" i="7" a="1"/>
  <c r="M590" i="7" s="1"/>
  <c r="M591" i="7" a="1"/>
  <c r="M591" i="7" s="1"/>
  <c r="M592" i="7" a="1"/>
  <c r="M592" i="7" s="1"/>
  <c r="M593" i="7" a="1"/>
  <c r="M593" i="7" s="1"/>
  <c r="M594" i="7" a="1"/>
  <c r="M594" i="7" s="1"/>
  <c r="M595" i="7" a="1"/>
  <c r="M595" i="7"/>
  <c r="M596" i="7" a="1"/>
  <c r="M596" i="7" s="1"/>
  <c r="M597" i="7" a="1"/>
  <c r="M597" i="7" s="1"/>
  <c r="M598" i="7" a="1"/>
  <c r="M598" i="7"/>
  <c r="M599" i="7" a="1"/>
  <c r="M599" i="7" s="1"/>
  <c r="M600" i="7" a="1"/>
  <c r="M600" i="7" s="1"/>
  <c r="M601" i="7" a="1"/>
  <c r="M601" i="7" s="1"/>
  <c r="M602" i="7" a="1"/>
  <c r="M602" i="7"/>
  <c r="M603" i="7" a="1"/>
  <c r="M603" i="7" s="1"/>
  <c r="M604" i="7" a="1"/>
  <c r="M604" i="7" s="1"/>
  <c r="M605" i="7" a="1"/>
  <c r="M605" i="7" s="1"/>
  <c r="M606" i="7" a="1"/>
  <c r="M606" i="7"/>
  <c r="M607" i="7" a="1"/>
  <c r="M607" i="7"/>
  <c r="M608" i="7" a="1"/>
  <c r="M608" i="7" s="1"/>
  <c r="M609" i="7" a="1"/>
  <c r="M609" i="7" s="1"/>
  <c r="M610" i="7" a="1"/>
  <c r="M610" i="7" s="1"/>
  <c r="M611" i="7" a="1"/>
  <c r="M611" i="7"/>
  <c r="M612" i="7" a="1"/>
  <c r="M612" i="7"/>
  <c r="M613" i="7" a="1"/>
  <c r="M613" i="7" s="1"/>
  <c r="M614" i="7" a="1"/>
  <c r="M614" i="7" s="1"/>
  <c r="M615" i="7" a="1"/>
  <c r="M615" i="7"/>
  <c r="M616" i="7" a="1"/>
  <c r="M616" i="7" s="1"/>
  <c r="M617" i="7" a="1"/>
  <c r="M617" i="7" s="1"/>
  <c r="M618" i="7" a="1"/>
  <c r="M618" i="7" s="1"/>
  <c r="M619" i="7" a="1"/>
  <c r="M619" i="7" s="1"/>
  <c r="M620" i="7" a="1"/>
  <c r="M620" i="7" s="1"/>
  <c r="M621" i="7" a="1"/>
  <c r="M621" i="7" s="1"/>
  <c r="M622" i="7" a="1"/>
  <c r="M622" i="7" s="1"/>
  <c r="M623" i="7" a="1"/>
  <c r="M623" i="7" s="1"/>
  <c r="M624" i="7" a="1"/>
  <c r="M624" i="7" s="1"/>
  <c r="M625" i="7" a="1"/>
  <c r="M625" i="7" s="1"/>
  <c r="M626" i="7" a="1"/>
  <c r="M626" i="7" s="1"/>
  <c r="M627" i="7" a="1"/>
  <c r="M627" i="7"/>
  <c r="M628" i="7" a="1"/>
  <c r="M628" i="7" s="1"/>
  <c r="M629" i="7" a="1"/>
  <c r="M629" i="7" s="1"/>
  <c r="M630" i="7" a="1"/>
  <c r="M630" i="7" s="1"/>
  <c r="M631" i="7" a="1"/>
  <c r="M631" i="7" s="1"/>
  <c r="M632" i="7" a="1"/>
  <c r="M632" i="7" s="1"/>
  <c r="M633" i="7" a="1"/>
  <c r="M633" i="7"/>
  <c r="M634" i="7" a="1"/>
  <c r="M634" i="7" s="1"/>
  <c r="M635" i="7" a="1"/>
  <c r="M635" i="7" s="1"/>
  <c r="M636" i="7" a="1"/>
  <c r="M636" i="7" s="1"/>
  <c r="M637" i="7" a="1"/>
  <c r="M637" i="7" s="1"/>
  <c r="M638" i="7" a="1"/>
  <c r="M638" i="7"/>
  <c r="M639" i="7" a="1"/>
  <c r="M639" i="7" s="1"/>
  <c r="M640" i="7" a="1"/>
  <c r="M640" i="7" s="1"/>
  <c r="M641" i="7" a="1"/>
  <c r="M641" i="7"/>
  <c r="M642" i="7" a="1"/>
  <c r="M642" i="7" s="1"/>
  <c r="M643" i="7" a="1"/>
  <c r="M643" i="7" s="1"/>
  <c r="M644" i="7" a="1"/>
  <c r="M644" i="7" s="1"/>
  <c r="M645" i="7" a="1"/>
  <c r="M645" i="7"/>
  <c r="M646" i="7" a="1"/>
  <c r="M646" i="7"/>
  <c r="M647" i="7" a="1"/>
  <c r="M647" i="7" s="1"/>
  <c r="M648" i="7" a="1"/>
  <c r="M648" i="7" s="1"/>
  <c r="M649" i="7" a="1"/>
  <c r="M649" i="7" s="1"/>
  <c r="M650" i="7" a="1"/>
  <c r="M650" i="7" s="1"/>
  <c r="M651" i="7" a="1"/>
  <c r="M651" i="7" s="1"/>
  <c r="M652" i="7" a="1"/>
  <c r="M652" i="7" s="1"/>
  <c r="M653" i="7" a="1"/>
  <c r="M653" i="7" s="1"/>
  <c r="M654" i="7" a="1"/>
  <c r="M654" i="7" s="1"/>
  <c r="M655" i="7" a="1"/>
  <c r="M655" i="7" s="1"/>
  <c r="M656" i="7" a="1"/>
  <c r="M656" i="7" s="1"/>
  <c r="M657" i="7" a="1"/>
  <c r="M657" i="7" s="1"/>
  <c r="M658" i="7" a="1"/>
  <c r="M658" i="7"/>
  <c r="M659" i="7" a="1"/>
  <c r="M659" i="7"/>
  <c r="M660" i="7" a="1"/>
  <c r="M660" i="7" s="1"/>
  <c r="M661" i="7" a="1"/>
  <c r="M661" i="7" s="1"/>
  <c r="M662" i="7" a="1"/>
  <c r="M662" i="7" s="1"/>
  <c r="M663" i="7" a="1"/>
  <c r="M663" i="7"/>
  <c r="M664" i="7" a="1"/>
  <c r="M664" i="7" s="1"/>
  <c r="M665" i="7" a="1"/>
  <c r="M665" i="7" s="1"/>
  <c r="M666" i="7" a="1"/>
  <c r="M666" i="7" s="1"/>
  <c r="M667" i="7" a="1"/>
  <c r="M667" i="7" s="1"/>
  <c r="M668" i="7" a="1"/>
  <c r="M668" i="7" s="1"/>
  <c r="M669" i="7" a="1"/>
  <c r="M669" i="7" s="1"/>
  <c r="M670" i="7" a="1"/>
  <c r="M670" i="7"/>
  <c r="M671" i="7" a="1"/>
  <c r="M671" i="7" s="1"/>
  <c r="M672" i="7" a="1"/>
  <c r="M672" i="7" s="1"/>
  <c r="M673" i="7" a="1"/>
  <c r="M673" i="7" s="1"/>
  <c r="M674" i="7" a="1"/>
  <c r="M674" i="7" s="1"/>
  <c r="M675" i="7" a="1"/>
  <c r="M675" i="7" s="1"/>
  <c r="M676" i="7" a="1"/>
  <c r="M676" i="7"/>
  <c r="M677" i="7" a="1"/>
  <c r="M677" i="7" s="1"/>
  <c r="M678" i="7" a="1"/>
  <c r="M678" i="7" s="1"/>
  <c r="M679" i="7" a="1"/>
  <c r="M679" i="7" s="1"/>
  <c r="M680" i="7" a="1"/>
  <c r="M680" i="7"/>
  <c r="M681" i="7" a="1"/>
  <c r="M681" i="7" s="1"/>
  <c r="M682" i="7" a="1"/>
  <c r="M682" i="7" s="1"/>
  <c r="M683" i="7" a="1"/>
  <c r="M683" i="7" s="1"/>
  <c r="M684" i="7" a="1"/>
  <c r="M684" i="7" s="1"/>
  <c r="M685" i="7" a="1"/>
  <c r="M685" i="7" s="1"/>
  <c r="M686" i="7" a="1"/>
  <c r="M686" i="7" s="1"/>
  <c r="M687" i="7" a="1"/>
  <c r="M687" i="7" s="1"/>
  <c r="M688" i="7" a="1"/>
  <c r="M688" i="7" s="1"/>
  <c r="M689" i="7" a="1"/>
  <c r="M689" i="7"/>
  <c r="M690" i="7" a="1"/>
  <c r="M690" i="7" s="1"/>
  <c r="M691" i="7" a="1"/>
  <c r="M691" i="7" s="1"/>
  <c r="M692" i="7" a="1"/>
  <c r="M692" i="7" s="1"/>
  <c r="M693" i="7" a="1"/>
  <c r="M693" i="7" s="1"/>
  <c r="M694" i="7" a="1"/>
  <c r="M694" i="7" s="1"/>
  <c r="M695" i="7" a="1"/>
  <c r="M695" i="7"/>
  <c r="M696" i="7" a="1"/>
  <c r="M696" i="7" s="1"/>
  <c r="M697" i="7" a="1"/>
  <c r="M697" i="7" s="1"/>
  <c r="M698" i="7" a="1"/>
  <c r="M698" i="7" s="1"/>
  <c r="M699" i="7" a="1"/>
  <c r="M699" i="7" s="1"/>
  <c r="M700" i="7" a="1"/>
  <c r="M700" i="7" s="1"/>
  <c r="M701" i="7" a="1"/>
  <c r="M701" i="7" s="1"/>
  <c r="M702" i="7" a="1"/>
  <c r="M702" i="7" s="1"/>
  <c r="M703" i="7" a="1"/>
  <c r="M703" i="7" s="1"/>
  <c r="M704" i="7" a="1"/>
  <c r="M704" i="7" s="1"/>
  <c r="M705" i="7" a="1"/>
  <c r="M705" i="7"/>
  <c r="M706" i="7" a="1"/>
  <c r="M706" i="7" s="1"/>
  <c r="M707" i="7" a="1"/>
  <c r="M707" i="7"/>
  <c r="M708" i="7" a="1"/>
  <c r="M708" i="7" s="1"/>
  <c r="M709" i="7" a="1"/>
  <c r="M709" i="7" s="1"/>
  <c r="M710" i="7" a="1"/>
  <c r="M710" i="7"/>
  <c r="M711" i="7" a="1"/>
  <c r="M711" i="7" s="1"/>
  <c r="M712" i="7" a="1"/>
  <c r="M712" i="7" s="1"/>
  <c r="M713" i="7" a="1"/>
  <c r="M713" i="7" s="1"/>
  <c r="M714" i="7" a="1"/>
  <c r="M714" i="7" s="1"/>
  <c r="M715" i="7" a="1"/>
  <c r="M715" i="7"/>
  <c r="M716" i="7" a="1"/>
  <c r="M716" i="7" s="1"/>
  <c r="M717" i="7" a="1"/>
  <c r="M717" i="7" s="1"/>
  <c r="M718" i="7" a="1"/>
  <c r="M718" i="7" s="1"/>
  <c r="M719" i="7" a="1"/>
  <c r="M719" i="7" s="1"/>
  <c r="M720" i="7" a="1"/>
  <c r="M720" i="7" s="1"/>
  <c r="M721" i="7" a="1"/>
  <c r="M721" i="7"/>
  <c r="M722" i="7" a="1"/>
  <c r="M722" i="7"/>
  <c r="M723" i="7" a="1"/>
  <c r="M723" i="7" s="1"/>
  <c r="M724" i="7" a="1"/>
  <c r="M724" i="7" s="1"/>
  <c r="M725" i="7" a="1"/>
  <c r="M725" i="7" s="1"/>
  <c r="M726" i="7" a="1"/>
  <c r="M726" i="7"/>
  <c r="M727" i="7" a="1"/>
  <c r="M727" i="7"/>
  <c r="M728" i="7" a="1"/>
  <c r="M728" i="7" s="1"/>
  <c r="M729" i="7" a="1"/>
  <c r="M729" i="7"/>
  <c r="M730" i="7" a="1"/>
  <c r="M730" i="7" s="1"/>
  <c r="M731" i="7" a="1"/>
  <c r="M731" i="7" s="1"/>
  <c r="M732" i="7" a="1"/>
  <c r="M732" i="7" s="1"/>
  <c r="M733" i="7" a="1"/>
  <c r="M733" i="7"/>
  <c r="M734" i="7" a="1"/>
  <c r="M734" i="7" s="1"/>
  <c r="M735" i="7" a="1"/>
  <c r="M735" i="7"/>
  <c r="M736" i="7" a="1"/>
  <c r="M736" i="7"/>
  <c r="M737" i="7" a="1"/>
  <c r="M737" i="7" s="1"/>
  <c r="M738" i="7" a="1"/>
  <c r="M738" i="7"/>
  <c r="M739" i="7" a="1"/>
  <c r="M739" i="7" s="1"/>
  <c r="M740" i="7" a="1"/>
  <c r="M740" i="7" s="1"/>
  <c r="M741" i="7" a="1"/>
  <c r="M741" i="7" s="1"/>
  <c r="M742" i="7" a="1"/>
  <c r="M742" i="7" s="1"/>
  <c r="M743" i="7" a="1"/>
  <c r="M743" i="7"/>
  <c r="M744" i="7" a="1"/>
  <c r="M744" i="7" s="1"/>
  <c r="M745" i="7" a="1"/>
  <c r="M745" i="7" s="1"/>
  <c r="M746" i="7" a="1"/>
  <c r="M746" i="7" s="1"/>
  <c r="M747" i="7" a="1"/>
  <c r="M747" i="7" s="1"/>
  <c r="M748" i="7" a="1"/>
  <c r="M748" i="7" s="1"/>
  <c r="M749" i="7" a="1"/>
  <c r="M749" i="7" s="1"/>
  <c r="M750" i="7" a="1"/>
  <c r="M750" i="7"/>
  <c r="M751" i="7" a="1"/>
  <c r="M751" i="7"/>
  <c r="M752" i="7" a="1"/>
  <c r="M752" i="7" s="1"/>
  <c r="M753" i="7" a="1"/>
  <c r="M753" i="7" s="1"/>
  <c r="M754" i="7" a="1"/>
  <c r="M754" i="7" s="1"/>
  <c r="M755" i="7" a="1"/>
  <c r="M755" i="7" s="1"/>
  <c r="M756" i="7" a="1"/>
  <c r="M756" i="7" s="1"/>
  <c r="M757" i="7" a="1"/>
  <c r="M757" i="7" s="1"/>
  <c r="M758" i="7" a="1"/>
  <c r="M758" i="7"/>
  <c r="M759" i="7" a="1"/>
  <c r="M759" i="7" s="1"/>
  <c r="M760" i="7" a="1"/>
  <c r="M760" i="7" s="1"/>
  <c r="M761" i="7" a="1"/>
  <c r="M761" i="7" s="1"/>
  <c r="M762" i="7" a="1"/>
  <c r="M762" i="7" s="1"/>
  <c r="M763" i="7" a="1"/>
  <c r="M763" i="7"/>
  <c r="M764" i="7" a="1"/>
  <c r="M764" i="7" s="1"/>
  <c r="M765" i="7" a="1"/>
  <c r="M765" i="7" s="1"/>
  <c r="M766" i="7" a="1"/>
  <c r="M766" i="7" s="1"/>
  <c r="M767" i="7" a="1"/>
  <c r="M767" i="7" s="1"/>
  <c r="M768" i="7" a="1"/>
  <c r="M768" i="7" s="1"/>
  <c r="M769" i="7" a="1"/>
  <c r="M769" i="7" s="1"/>
  <c r="M770" i="7" a="1"/>
  <c r="M770" i="7" s="1"/>
  <c r="M771" i="7" a="1"/>
  <c r="M771" i="7"/>
  <c r="M772" i="7" a="1"/>
  <c r="M772" i="7" s="1"/>
  <c r="M773" i="7" a="1"/>
  <c r="M773" i="7"/>
  <c r="M774" i="7" a="1"/>
  <c r="M774" i="7" s="1"/>
  <c r="M775" i="7" a="1"/>
  <c r="M775" i="7" s="1"/>
  <c r="M776" i="7" a="1"/>
  <c r="M776" i="7" s="1"/>
  <c r="M777" i="7" a="1"/>
  <c r="M777" i="7" s="1"/>
  <c r="M778" i="7" a="1"/>
  <c r="M778" i="7" s="1"/>
  <c r="M779" i="7" a="1"/>
  <c r="M779" i="7"/>
  <c r="M780" i="7" a="1"/>
  <c r="M780" i="7" s="1"/>
  <c r="M781" i="7" a="1"/>
  <c r="M781" i="7"/>
  <c r="M782" i="7" a="1"/>
  <c r="M782" i="7"/>
  <c r="M783" i="7" a="1"/>
  <c r="M783" i="7" s="1"/>
  <c r="M784" i="7" a="1"/>
  <c r="M784" i="7" s="1"/>
  <c r="M785" i="7" a="1"/>
  <c r="M785" i="7" s="1"/>
  <c r="M786" i="7" a="1"/>
  <c r="M786" i="7" s="1"/>
  <c r="M787" i="7" a="1"/>
  <c r="M787" i="7" s="1"/>
  <c r="M788" i="7" a="1"/>
  <c r="M788" i="7" s="1"/>
  <c r="M789" i="7" a="1"/>
  <c r="M789" i="7"/>
  <c r="M790" i="7" a="1"/>
  <c r="M790" i="7" s="1"/>
  <c r="M791" i="7" a="1"/>
  <c r="M791" i="7" s="1"/>
  <c r="M792" i="7" a="1"/>
  <c r="M792" i="7"/>
  <c r="M793" i="7" a="1"/>
  <c r="M793" i="7"/>
  <c r="M794" i="7" a="1"/>
  <c r="M794" i="7" s="1"/>
  <c r="M795" i="7" a="1"/>
  <c r="M795" i="7" s="1"/>
  <c r="M796" i="7" a="1"/>
  <c r="M796" i="7" s="1"/>
  <c r="M797" i="7" a="1"/>
  <c r="M797" i="7"/>
  <c r="M798" i="7" a="1"/>
  <c r="M798" i="7" s="1"/>
  <c r="M799" i="7" a="1"/>
  <c r="M799" i="7" s="1"/>
  <c r="M800" i="7" a="1"/>
  <c r="M800" i="7" s="1"/>
  <c r="M801" i="7" a="1"/>
  <c r="M801" i="7" s="1"/>
  <c r="M802" i="7" a="1"/>
  <c r="M802" i="7"/>
  <c r="M803" i="7" a="1"/>
  <c r="M803" i="7" s="1"/>
  <c r="M804" i="7" a="1"/>
  <c r="M804" i="7" s="1"/>
  <c r="M805" i="7" a="1"/>
  <c r="M805" i="7" s="1"/>
  <c r="M806" i="7" a="1"/>
  <c r="M806" i="7" s="1"/>
  <c r="M807" i="7" a="1"/>
  <c r="M807" i="7" s="1"/>
  <c r="M808" i="7" a="1"/>
  <c r="M808" i="7" s="1"/>
  <c r="M809" i="7" a="1"/>
  <c r="M809" i="7" s="1"/>
  <c r="M810" i="7" a="1"/>
  <c r="M810" i="7"/>
  <c r="M811" i="7" a="1"/>
  <c r="M811" i="7"/>
  <c r="M812" i="7" a="1"/>
  <c r="M812" i="7"/>
  <c r="M813" i="7" a="1"/>
  <c r="M813" i="7" s="1"/>
  <c r="M814" i="7" a="1"/>
  <c r="M814" i="7" s="1"/>
  <c r="M815" i="7" a="1"/>
  <c r="M815" i="7" s="1"/>
  <c r="M816" i="7" a="1"/>
  <c r="M816" i="7" s="1"/>
  <c r="M817" i="7" a="1"/>
  <c r="M817" i="7" s="1"/>
  <c r="M818" i="7" a="1"/>
  <c r="M818" i="7" s="1"/>
  <c r="M819" i="7" a="1"/>
  <c r="M819" i="7" s="1"/>
  <c r="M820" i="7" a="1"/>
  <c r="M820" i="7" s="1"/>
  <c r="M821" i="7" a="1"/>
  <c r="M821" i="7" s="1"/>
  <c r="M822" i="7" a="1"/>
  <c r="M822" i="7" s="1"/>
  <c r="M823" i="7" a="1"/>
  <c r="M823" i="7"/>
  <c r="M824" i="7" a="1"/>
  <c r="M824" i="7" s="1"/>
  <c r="M825" i="7" a="1"/>
  <c r="M825" i="7"/>
  <c r="M826" i="7" a="1"/>
  <c r="M826" i="7" s="1"/>
  <c r="M827" i="7" a="1"/>
  <c r="M827" i="7"/>
  <c r="M828" i="7" a="1"/>
  <c r="M828" i="7" s="1"/>
  <c r="M829" i="7" a="1"/>
  <c r="M829" i="7" s="1"/>
  <c r="M830" i="7" a="1"/>
  <c r="M830" i="7" s="1"/>
  <c r="M831" i="7" a="1"/>
  <c r="M831" i="7" s="1"/>
  <c r="M832" i="7" a="1"/>
  <c r="M832" i="7" s="1"/>
  <c r="M833" i="7" a="1"/>
  <c r="M833" i="7"/>
  <c r="M834" i="7" a="1"/>
  <c r="M834" i="7" s="1"/>
  <c r="M835" i="7" a="1"/>
  <c r="M835" i="7" s="1"/>
  <c r="M836" i="7" a="1"/>
  <c r="M836" i="7"/>
  <c r="M837" i="7" a="1"/>
  <c r="M837" i="7"/>
  <c r="M838" i="7" a="1"/>
  <c r="M838" i="7" s="1"/>
  <c r="M839" i="7" a="1"/>
  <c r="M839" i="7" s="1"/>
  <c r="M840" i="7" a="1"/>
  <c r="M840" i="7"/>
  <c r="M841" i="7" a="1"/>
  <c r="M841" i="7" s="1"/>
  <c r="M842" i="7" a="1"/>
  <c r="M842" i="7" s="1"/>
  <c r="M843" i="7" a="1"/>
  <c r="M843" i="7"/>
  <c r="M844" i="7" a="1"/>
  <c r="M844" i="7" s="1"/>
  <c r="M845" i="7" a="1"/>
  <c r="M845" i="7" s="1"/>
  <c r="M846" i="7" a="1"/>
  <c r="M846" i="7" s="1"/>
  <c r="M847" i="7" a="1"/>
  <c r="M847" i="7"/>
  <c r="M848" i="7" a="1"/>
  <c r="M848" i="7" s="1"/>
  <c r="M849" i="7" a="1"/>
  <c r="M849" i="7"/>
  <c r="M850" i="7" a="1"/>
  <c r="M850" i="7" s="1"/>
  <c r="M851" i="7" a="1"/>
  <c r="M851" i="7" s="1"/>
  <c r="M852" i="7" a="1"/>
  <c r="M852" i="7" s="1"/>
  <c r="M853" i="7" a="1"/>
  <c r="M853" i="7" s="1"/>
  <c r="M854" i="7" a="1"/>
  <c r="M854" i="7" s="1"/>
  <c r="M855" i="7" a="1"/>
  <c r="M855" i="7" s="1"/>
  <c r="M856" i="7" a="1"/>
  <c r="M856" i="7" s="1"/>
  <c r="M857" i="7" a="1"/>
  <c r="M857" i="7"/>
  <c r="M858" i="7" a="1"/>
  <c r="M858" i="7" s="1"/>
  <c r="M859" i="7" a="1"/>
  <c r="M859" i="7" s="1"/>
  <c r="M860" i="7" a="1"/>
  <c r="M860" i="7" s="1"/>
  <c r="M861" i="7" a="1"/>
  <c r="M861" i="7" s="1"/>
  <c r="M862" i="7" a="1"/>
  <c r="M862" i="7" s="1"/>
  <c r="M863" i="7" a="1"/>
  <c r="M863" i="7" s="1"/>
  <c r="M864" i="7" a="1"/>
  <c r="M864" i="7" s="1"/>
  <c r="M865" i="7" a="1"/>
  <c r="M865" i="7"/>
  <c r="M866" i="7" a="1"/>
  <c r="M866" i="7" s="1"/>
  <c r="M867" i="7" a="1"/>
  <c r="M867" i="7"/>
  <c r="M868" i="7" a="1"/>
  <c r="M868" i="7" s="1"/>
  <c r="M869" i="7" a="1"/>
  <c r="M869" i="7" s="1"/>
  <c r="M870" i="7" a="1"/>
  <c r="M870" i="7"/>
  <c r="M871" i="7" a="1"/>
  <c r="M871" i="7" s="1"/>
  <c r="M872" i="7" a="1"/>
  <c r="M872" i="7" s="1"/>
  <c r="M873" i="7" a="1"/>
  <c r="M873" i="7" s="1"/>
  <c r="M874" i="7" a="1"/>
  <c r="M874" i="7" s="1"/>
  <c r="M875" i="7" a="1"/>
  <c r="M875" i="7" s="1"/>
  <c r="M876" i="7" a="1"/>
  <c r="M876" i="7" s="1"/>
  <c r="M877" i="7" a="1"/>
  <c r="M877" i="7"/>
  <c r="M878" i="7" a="1"/>
  <c r="M878" i="7" s="1"/>
  <c r="M879" i="7" a="1"/>
  <c r="M879" i="7" s="1"/>
  <c r="M880" i="7" a="1"/>
  <c r="M880" i="7"/>
  <c r="M881" i="7" a="1"/>
  <c r="M881" i="7"/>
  <c r="M882" i="7" a="1"/>
  <c r="M882" i="7" s="1"/>
  <c r="M883" i="7" a="1"/>
  <c r="M883" i="7" s="1"/>
  <c r="M884" i="7" a="1"/>
  <c r="M884" i="7" s="1"/>
  <c r="M885" i="7" a="1"/>
  <c r="M885" i="7"/>
  <c r="M886" i="7" a="1"/>
  <c r="M886" i="7" s="1"/>
  <c r="M887" i="7" a="1"/>
  <c r="M887" i="7" s="1"/>
  <c r="M888" i="7" a="1"/>
  <c r="M888" i="7" s="1"/>
  <c r="M889" i="7" a="1"/>
  <c r="M889" i="7" s="1"/>
  <c r="M890" i="7" a="1"/>
  <c r="M890" i="7" s="1"/>
  <c r="M891" i="7" a="1"/>
  <c r="M891" i="7" s="1"/>
  <c r="M892" i="7" a="1"/>
  <c r="M892" i="7" s="1"/>
  <c r="M893" i="7" a="1"/>
  <c r="M893" i="7" s="1"/>
  <c r="M894" i="7" a="1"/>
  <c r="M894" i="7" s="1"/>
  <c r="M895" i="7" a="1"/>
  <c r="M895" i="7" s="1"/>
  <c r="M896" i="7" a="1"/>
  <c r="M896" i="7" s="1"/>
  <c r="M897" i="7" a="1"/>
  <c r="M897" i="7" s="1"/>
  <c r="M898" i="7" a="1"/>
  <c r="M898" i="7" s="1"/>
  <c r="M899" i="7" a="1"/>
  <c r="M899" i="7"/>
  <c r="M900" i="7" a="1"/>
  <c r="M900" i="7" s="1"/>
  <c r="M901" i="7" a="1"/>
  <c r="M901" i="7"/>
  <c r="M902" i="7" a="1"/>
  <c r="M902" i="7" s="1"/>
  <c r="M903" i="7" a="1"/>
  <c r="M903" i="7"/>
  <c r="M904" i="7" a="1"/>
  <c r="M904" i="7" s="1"/>
  <c r="M905" i="7" a="1"/>
  <c r="M905" i="7" s="1"/>
  <c r="M906" i="7" a="1"/>
  <c r="M906" i="7" s="1"/>
  <c r="M907" i="7" a="1"/>
  <c r="M907" i="7" s="1"/>
  <c r="M908" i="7" a="1"/>
  <c r="M908" i="7" s="1"/>
  <c r="M909" i="7" a="1"/>
  <c r="M909" i="7" s="1"/>
  <c r="M910" i="7" a="1"/>
  <c r="M910" i="7" s="1"/>
  <c r="M911" i="7" a="1"/>
  <c r="M911" i="7"/>
  <c r="M912" i="7" a="1"/>
  <c r="M912" i="7" s="1"/>
  <c r="M913" i="7" a="1"/>
  <c r="M913" i="7" s="1"/>
  <c r="M914" i="7" a="1"/>
  <c r="M914" i="7" s="1"/>
  <c r="M915" i="7" a="1"/>
  <c r="M915" i="7"/>
  <c r="M916" i="7" a="1"/>
  <c r="M916" i="7"/>
  <c r="M917" i="7" a="1"/>
  <c r="M917" i="7" s="1"/>
  <c r="M918" i="7" a="1"/>
  <c r="M918" i="7" s="1"/>
  <c r="M919" i="7" a="1"/>
  <c r="M919" i="7" s="1"/>
  <c r="M920" i="7" a="1"/>
  <c r="M920" i="7" s="1"/>
  <c r="M921" i="7" a="1"/>
  <c r="M921" i="7" s="1"/>
  <c r="M922" i="7" a="1"/>
  <c r="M922" i="7"/>
  <c r="M923" i="7" a="1"/>
  <c r="M923" i="7" s="1"/>
  <c r="M924" i="7" a="1"/>
  <c r="M924" i="7" s="1"/>
  <c r="M925" i="7" a="1"/>
  <c r="M925" i="7" s="1"/>
  <c r="M926" i="7" a="1"/>
  <c r="M926" i="7" s="1"/>
  <c r="M927" i="7" a="1"/>
  <c r="M927" i="7"/>
  <c r="M928" i="7" a="1"/>
  <c r="M928" i="7"/>
  <c r="M929" i="7" a="1"/>
  <c r="M929" i="7" s="1"/>
  <c r="M930" i="7" a="1"/>
  <c r="M930" i="7" s="1"/>
  <c r="M931" i="7" a="1"/>
  <c r="M931" i="7"/>
  <c r="M932" i="7" a="1"/>
  <c r="M932" i="7" s="1"/>
  <c r="M933" i="7" a="1"/>
  <c r="M933" i="7" s="1"/>
  <c r="M934" i="7" a="1"/>
  <c r="M934" i="7" s="1"/>
  <c r="M935" i="7" a="1"/>
  <c r="M935" i="7"/>
  <c r="M936" i="7" a="1"/>
  <c r="M936" i="7" s="1"/>
  <c r="M937" i="7" a="1"/>
  <c r="M937" i="7" s="1"/>
  <c r="M938" i="7" a="1"/>
  <c r="M938" i="7" s="1"/>
  <c r="M939" i="7" a="1"/>
  <c r="M939" i="7"/>
  <c r="M940" i="7" a="1"/>
  <c r="M940" i="7" s="1"/>
  <c r="M941" i="7" a="1"/>
  <c r="M941" i="7"/>
  <c r="M942" i="7" a="1"/>
  <c r="M942" i="7"/>
  <c r="M943" i="7" a="1"/>
  <c r="M943" i="7" s="1"/>
  <c r="M944" i="7" a="1"/>
  <c r="M944" i="7" s="1"/>
  <c r="M945" i="7" a="1"/>
  <c r="M945" i="7" s="1"/>
  <c r="M946" i="7" a="1"/>
  <c r="M946" i="7" s="1"/>
  <c r="M947" i="7" a="1"/>
  <c r="M947" i="7"/>
  <c r="M948" i="7" a="1"/>
  <c r="M948" i="7"/>
  <c r="M949" i="7" a="1"/>
  <c r="M949" i="7"/>
  <c r="M950" i="7" a="1"/>
  <c r="M950" i="7" s="1"/>
  <c r="M951" i="7" a="1"/>
  <c r="M951" i="7"/>
  <c r="M952" i="7" a="1"/>
  <c r="M952" i="7" s="1"/>
  <c r="M953" i="7" a="1"/>
  <c r="M953" i="7" s="1"/>
  <c r="M954" i="7" a="1"/>
  <c r="M954" i="7" s="1"/>
  <c r="M955" i="7" a="1"/>
  <c r="M955" i="7" s="1"/>
  <c r="M956" i="7" a="1"/>
  <c r="M956" i="7" s="1"/>
  <c r="M957" i="7" a="1"/>
  <c r="M957" i="7" s="1"/>
  <c r="M958" i="7" a="1"/>
  <c r="M958" i="7" s="1"/>
  <c r="M959" i="7" a="1"/>
  <c r="M959" i="7"/>
  <c r="M960" i="7" a="1"/>
  <c r="M960" i="7"/>
  <c r="M961" i="7" a="1"/>
  <c r="M961" i="7"/>
  <c r="M962" i="7" a="1"/>
  <c r="M962" i="7" s="1"/>
  <c r="M963" i="7" a="1"/>
  <c r="M963" i="7" s="1"/>
  <c r="M964" i="7" a="1"/>
  <c r="M964" i="7"/>
  <c r="M965" i="7" a="1"/>
  <c r="M965" i="7" s="1"/>
  <c r="M966" i="7" a="1"/>
  <c r="M966" i="7" s="1"/>
  <c r="M967" i="7" a="1"/>
  <c r="M967" i="7" s="1"/>
  <c r="M968" i="7" a="1"/>
  <c r="M968" i="7" s="1"/>
  <c r="M969" i="7" a="1"/>
  <c r="M969" i="7" s="1"/>
  <c r="M970" i="7" a="1"/>
  <c r="M970" i="7" s="1"/>
  <c r="M971" i="7" a="1"/>
  <c r="M971" i="7"/>
  <c r="M972" i="7" a="1"/>
  <c r="M972" i="7"/>
  <c r="M973" i="7" a="1"/>
  <c r="M973" i="7"/>
  <c r="M974" i="7" a="1"/>
  <c r="M974" i="7" s="1"/>
  <c r="M975" i="7" a="1"/>
  <c r="M975" i="7" s="1"/>
  <c r="M976" i="7" a="1"/>
  <c r="M976" i="7" s="1"/>
  <c r="M977" i="7" a="1"/>
  <c r="M977" i="7"/>
  <c r="M978" i="7" a="1"/>
  <c r="M978" i="7" s="1"/>
  <c r="M979" i="7" a="1"/>
  <c r="M979" i="7" s="1"/>
  <c r="M980" i="7" a="1"/>
  <c r="M980" i="7" s="1"/>
  <c r="M981" i="7" a="1"/>
  <c r="M981" i="7" s="1"/>
  <c r="M982" i="7" a="1"/>
  <c r="M982" i="7" s="1"/>
  <c r="M983" i="7" a="1"/>
  <c r="M983" i="7"/>
  <c r="M984" i="7" a="1"/>
  <c r="M984" i="7" s="1"/>
  <c r="M985" i="7" a="1"/>
  <c r="M985" i="7" s="1"/>
  <c r="M986" i="7" a="1"/>
  <c r="M986" i="7" s="1"/>
  <c r="M987" i="7" a="1"/>
  <c r="M987" i="7" s="1"/>
  <c r="M988" i="7" a="1"/>
  <c r="M988" i="7"/>
  <c r="M989" i="7" a="1"/>
  <c r="M989" i="7" s="1"/>
  <c r="M990" i="7" a="1"/>
  <c r="M990" i="7" s="1"/>
  <c r="M3" i="7" a="1"/>
  <c r="M3" i="7" s="1"/>
  <c r="M4" i="7" a="1"/>
  <c r="M4" i="7"/>
  <c r="M5" i="7" a="1"/>
  <c r="M5" i="7" s="1"/>
  <c r="M6" i="7" a="1"/>
  <c r="M6" i="7" s="1"/>
  <c r="M7" i="7" a="1"/>
  <c r="M7" i="7" s="1"/>
  <c r="M8" i="7" a="1"/>
  <c r="M8" i="7"/>
  <c r="M9" i="7" a="1"/>
  <c r="M9" i="7" s="1"/>
  <c r="M10" i="7" a="1"/>
  <c r="M10" i="7" s="1"/>
  <c r="M11" i="7" a="1"/>
  <c r="M11" i="7" s="1"/>
  <c r="M12" i="7" a="1"/>
  <c r="M12" i="7"/>
  <c r="M13" i="7" a="1"/>
  <c r="M13" i="7" s="1"/>
  <c r="M14" i="7" a="1"/>
  <c r="M14" i="7" s="1"/>
  <c r="M15" i="7" a="1"/>
  <c r="M15" i="7" s="1"/>
  <c r="M16" i="7" a="1"/>
  <c r="M16" i="7"/>
  <c r="M17" i="7" a="1"/>
  <c r="M17" i="7" s="1"/>
  <c r="M18" i="7" a="1"/>
  <c r="M18" i="7"/>
  <c r="M19" i="7" a="1"/>
  <c r="M19" i="7"/>
  <c r="M20" i="7" a="1"/>
  <c r="M20" i="7"/>
  <c r="M21" i="7" a="1"/>
  <c r="M21" i="7" s="1"/>
  <c r="M22" i="7" a="1"/>
  <c r="M22" i="7" s="1"/>
  <c r="M2" i="7" a="1"/>
  <c r="M2" i="7" s="1"/>
  <c r="S11" i="7" l="1"/>
  <c r="T1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<sst xmlns="http://schemas.openxmlformats.org/spreadsheetml/2006/main" count="8095" uniqueCount="1048">
  <si>
    <t>Date</t>
  </si>
  <si>
    <t>Charlie</t>
  </si>
  <si>
    <t>Diana</t>
  </si>
  <si>
    <t>Bob</t>
  </si>
  <si>
    <t>Alice</t>
  </si>
  <si>
    <t>Transaction ID</t>
  </si>
  <si>
    <t>Customer ID</t>
  </si>
  <si>
    <t>Gender</t>
  </si>
  <si>
    <t>Age</t>
  </si>
  <si>
    <t>Product Category</t>
  </si>
  <si>
    <t>Quantity</t>
  </si>
  <si>
    <t>Price per Unit</t>
  </si>
  <si>
    <t>Total Amount</t>
  </si>
  <si>
    <t>CUST001</t>
  </si>
  <si>
    <t>Male</t>
  </si>
  <si>
    <t>Beauty</t>
  </si>
  <si>
    <t>CUST002</t>
  </si>
  <si>
    <t>Sports</t>
  </si>
  <si>
    <t>CUST003</t>
  </si>
  <si>
    <t>Female</t>
  </si>
  <si>
    <t>Clothing</t>
  </si>
  <si>
    <t>CUST004</t>
  </si>
  <si>
    <t>CUST005</t>
  </si>
  <si>
    <t>Grocery</t>
  </si>
  <si>
    <t>CUST006</t>
  </si>
  <si>
    <t>CUST007</t>
  </si>
  <si>
    <t>CUST008</t>
  </si>
  <si>
    <t>Electronics</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</si>
  <si>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</si>
  <si>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</si>
  <si>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</si>
  <si>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</si>
  <si>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</si>
  <si>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</si>
  <si>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</si>
  <si>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</si>
  <si>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</si>
  <si>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</si>
  <si>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</si>
  <si>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</si>
  <si>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</si>
  <si>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</si>
  <si>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</si>
  <si>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</si>
  <si>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</si>
  <si>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</si>
  <si>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</si>
  <si>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</si>
  <si>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</si>
  <si>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</si>
  <si>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</si>
  <si>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</si>
  <si>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</si>
  <si>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</si>
  <si>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</si>
  <si>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</si>
  <si>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</si>
  <si>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</si>
  <si>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</si>
  <si>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</si>
  <si>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</si>
  <si>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</si>
  <si>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</si>
  <si>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</si>
  <si>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</si>
  <si>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</si>
  <si>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</si>
  <si>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</si>
  <si>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</si>
  <si>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</si>
  <si>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</si>
  <si>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</si>
  <si>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</si>
  <si>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</si>
  <si>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</si>
  <si>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</si>
  <si>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</si>
  <si>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</si>
  <si>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</si>
  <si>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</si>
  <si>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</si>
  <si>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</si>
  <si>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</si>
  <si>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</si>
  <si>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</si>
  <si>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</si>
  <si>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</si>
  <si>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</si>
  <si>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</si>
  <si>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</si>
  <si>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</si>
  <si>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</si>
  <si>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</si>
  <si>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</si>
  <si>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</si>
  <si>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</si>
  <si>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</si>
  <si>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</si>
  <si>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</si>
  <si>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</si>
  <si>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</si>
  <si>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</si>
  <si>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</si>
  <si>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</si>
  <si>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</si>
  <si>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</si>
  <si>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</si>
  <si>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</si>
  <si>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</si>
  <si>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</si>
  <si>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</si>
  <si>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</si>
  <si>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</si>
  <si>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</si>
  <si>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</si>
  <si>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</si>
  <si>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</si>
  <si>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</si>
  <si>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</si>
  <si>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</si>
  <si>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</si>
  <si>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</si>
  <si>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</si>
  <si>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</si>
  <si>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</si>
  <si>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</si>
  <si>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</si>
  <si>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</si>
  <si>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</si>
  <si>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</si>
  <si>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</si>
  <si>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</si>
  <si>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</si>
  <si>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</si>
  <si>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</si>
  <si>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</si>
  <si>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</si>
  <si>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</si>
  <si>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</si>
  <si>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</si>
  <si>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</si>
  <si>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</si>
  <si>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</si>
  <si>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</si>
  <si>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</si>
  <si>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</si>
  <si>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</si>
  <si>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</si>
  <si>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</si>
  <si>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</si>
  <si>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</si>
  <si>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</si>
  <si>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</si>
  <si>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</si>
  <si>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</si>
  <si>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</si>
  <si>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</si>
  <si>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</si>
  <si>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</si>
  <si>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</si>
  <si>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</si>
  <si>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</si>
  <si>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</si>
  <si>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</si>
  <si>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</si>
  <si>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</si>
  <si>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</si>
  <si>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</si>
  <si>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</si>
  <si>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</si>
  <si>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</si>
  <si>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</si>
  <si>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</si>
  <si>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</si>
  <si>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</si>
  <si>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</si>
  <si>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</si>
  <si>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</si>
  <si>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</si>
  <si>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</si>
  <si>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</si>
  <si>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</si>
  <si>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</si>
  <si>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</si>
  <si>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</si>
  <si>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</si>
  <si>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</si>
  <si>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</si>
  <si>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</si>
  <si>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</si>
  <si>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</si>
  <si>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</si>
  <si>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</si>
  <si>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</si>
  <si>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</si>
  <si>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</si>
  <si>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</si>
  <si>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</si>
  <si>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</si>
  <si>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</si>
  <si>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</si>
  <si>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</si>
  <si>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</si>
  <si>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</si>
  <si>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</si>
  <si>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</si>
  <si>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</si>
  <si>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</si>
  <si>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</si>
  <si>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</si>
  <si>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</si>
  <si>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</si>
  <si>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</si>
  <si>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</si>
  <si>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</si>
  <si>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</si>
  <si>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</si>
  <si>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</si>
  <si>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</si>
  <si>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</si>
  <si>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</si>
  <si>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</si>
  <si>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</si>
  <si>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</si>
  <si>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</si>
  <si>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</si>
  <si>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</si>
  <si>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</si>
  <si>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</si>
  <si>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</si>
  <si>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</si>
  <si>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</si>
  <si>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</si>
  <si>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</si>
  <si>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</si>
  <si>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</si>
  <si>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</si>
  <si>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</si>
  <si>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</si>
  <si>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</si>
  <si>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</si>
  <si>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</si>
  <si>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</si>
  <si>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</si>
  <si>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</si>
  <si>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</si>
  <si>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</si>
  <si>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</si>
  <si>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</si>
  <si>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</si>
  <si>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</si>
  <si>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</si>
  <si>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</si>
  <si>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</si>
  <si>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</si>
  <si>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</si>
  <si>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</si>
  <si>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</si>
  <si>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</si>
  <si>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</si>
  <si>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</si>
  <si>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</si>
  <si>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</si>
  <si>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</si>
  <si>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</si>
  <si>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</si>
  <si>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</si>
  <si>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</si>
  <si>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</si>
  <si>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</si>
  <si>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</si>
  <si>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</si>
  <si>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</si>
  <si>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</si>
  <si>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</si>
  <si>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</si>
  <si>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</si>
  <si>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</si>
  <si>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</si>
  <si>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</si>
  <si>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</si>
  <si>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</si>
  <si>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</si>
  <si>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</si>
  <si>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</si>
  <si>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</si>
  <si>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</si>
  <si>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</si>
  <si>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</si>
  <si>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</si>
  <si>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</si>
  <si>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</si>
  <si>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</si>
  <si>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</si>
  <si>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</si>
  <si>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</si>
  <si>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</si>
  <si>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</si>
  <si>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</si>
  <si>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</si>
  <si>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</si>
  <si>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</si>
  <si>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</si>
  <si>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</si>
  <si>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</si>
  <si>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</si>
  <si>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</si>
  <si>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</si>
  <si>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</si>
  <si>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</si>
  <si>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</si>
  <si>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</si>
  <si>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</si>
  <si>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</si>
  <si>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</si>
  <si>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</si>
  <si>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</si>
  <si>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</si>
  <si>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</si>
  <si>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</si>
  <si>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</si>
  <si>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</si>
  <si>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</si>
  <si>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</si>
  <si>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</si>
  <si>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</si>
  <si>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</si>
  <si>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</si>
  <si>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</si>
  <si>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</si>
  <si>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</si>
  <si>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</si>
  <si>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</si>
  <si>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</si>
  <si>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</si>
  <si>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</si>
  <si>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</si>
  <si>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</si>
  <si>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</si>
  <si>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</si>
  <si>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</si>
  <si>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</si>
  <si>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</si>
  <si>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</si>
  <si>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</si>
  <si>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</si>
  <si>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</si>
  <si>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</si>
  <si>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</si>
  <si>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</si>
  <si>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</si>
  <si>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</si>
  <si>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</si>
  <si>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</si>
  <si>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</si>
  <si>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</si>
  <si>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</si>
  <si>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</si>
  <si>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</si>
  <si>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</si>
  <si>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</si>
  <si>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</si>
  <si>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</si>
  <si>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</si>
  <si>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</si>
  <si>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</si>
  <si>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</si>
  <si>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</si>
  <si>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</si>
  <si>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</si>
  <si>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</si>
  <si>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</si>
  <si>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</si>
  <si>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</si>
  <si>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</si>
  <si>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</si>
  <si>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</si>
  <si>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</si>
  <si>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</si>
  <si>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</si>
  <si>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</si>
  <si>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</si>
  <si>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</si>
  <si>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</si>
  <si>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</si>
  <si>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</si>
  <si>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</si>
  <si>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</si>
  <si>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</si>
  <si>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</si>
  <si>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</si>
  <si>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</si>
  <si>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</si>
  <si>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</si>
  <si>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</si>
  <si>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</si>
  <si>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</si>
  <si>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</si>
  <si>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</si>
  <si>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</si>
  <si>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</si>
  <si>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</si>
  <si>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</si>
  <si>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</si>
  <si>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</si>
  <si>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</si>
  <si>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</si>
  <si>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</si>
  <si>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</si>
  <si>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</si>
  <si>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</si>
  <si>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</si>
  <si>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</si>
  <si>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</si>
  <si>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</si>
  <si>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</si>
  <si>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</si>
  <si>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</si>
  <si>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</si>
  <si>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</si>
  <si>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</si>
  <si>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</si>
  <si>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</si>
  <si>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</si>
  <si>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</si>
  <si>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</si>
  <si>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</si>
  <si>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</si>
  <si>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</si>
  <si>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</si>
  <si>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</si>
  <si>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</si>
  <si>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</si>
  <si>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</si>
  <si>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</si>
  <si>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</si>
  <si>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</si>
  <si>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</si>
  <si>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</si>
  <si>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</si>
  <si>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</si>
  <si>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</si>
  <si>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</si>
  <si>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</si>
  <si>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</si>
  <si>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</si>
  <si>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</si>
  <si>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</si>
  <si>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</si>
  <si>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</si>
  <si>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</si>
  <si>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</si>
  <si>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</si>
  <si>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</si>
  <si>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</si>
  <si>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</si>
  <si>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</si>
  <si>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</si>
  <si>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</si>
  <si>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</si>
  <si>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</si>
  <si>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</si>
  <si>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</si>
  <si>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</si>
  <si>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</si>
  <si>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</si>
  <si>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</si>
  <si>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</si>
  <si>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</si>
  <si>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</si>
  <si>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</si>
  <si>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</si>
  <si>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</si>
  <si>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</si>
  <si>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</si>
  <si>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</si>
  <si>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</si>
  <si>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</si>
  <si>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</si>
  <si>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</si>
  <si>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</si>
  <si>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</si>
  <si>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</si>
  <si>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</si>
  <si>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</si>
  <si>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</si>
  <si>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</si>
  <si>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</si>
  <si>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</si>
  <si>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</si>
  <si>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</si>
  <si>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</si>
  <si>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</si>
  <si>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</si>
  <si>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</si>
  <si>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</si>
  <si>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</si>
  <si>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</si>
  <si>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</si>
  <si>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</si>
  <si>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</si>
  <si>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</si>
  <si>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</si>
  <si>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</si>
  <si>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</si>
  <si>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</si>
  <si>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</si>
  <si>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</si>
  <si>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</si>
  <si>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</si>
  <si>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</si>
  <si>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</si>
  <si>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</si>
  <si>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</si>
  <si>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</si>
  <si>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</si>
  <si>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</si>
  <si>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</si>
  <si>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</si>
  <si>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</si>
  <si>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</si>
  <si>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</si>
  <si>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</si>
  <si>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</si>
  <si>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</si>
  <si>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</si>
  <si>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</si>
  <si>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</si>
  <si>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</si>
  <si>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</si>
  <si>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</si>
  <si>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</si>
  <si>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</si>
  <si>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</si>
  <si>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</si>
  <si>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</si>
  <si>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</si>
  <si>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</si>
  <si>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</si>
  <si>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</si>
  <si>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</si>
  <si>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</si>
  <si>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</si>
  <si>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</si>
  <si>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</si>
  <si>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</si>
  <si>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</si>
  <si>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</si>
  <si>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</si>
  <si>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</si>
  <si>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</si>
  <si>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</si>
  <si>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</si>
  <si>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</si>
  <si>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</si>
  <si>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</si>
  <si>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</si>
  <si>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</si>
  <si>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</si>
  <si>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</si>
  <si>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</si>
  <si>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</si>
  <si>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</si>
  <si>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</si>
  <si>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</si>
  <si>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</si>
  <si>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</si>
  <si>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</si>
  <si>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</si>
  <si>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</si>
  <si>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</si>
  <si>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</si>
  <si>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</si>
  <si>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</si>
  <si>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</si>
  <si>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</si>
  <si>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</si>
  <si>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</si>
  <si>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</si>
  <si>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</si>
  <si>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</si>
  <si>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</si>
  <si>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</si>
  <si>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</si>
  <si>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</si>
  <si>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</si>
  <si>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</si>
  <si>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</si>
  <si>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</si>
  <si>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</si>
  <si>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</si>
  <si>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</si>
  <si>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</si>
  <si>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</si>
  <si>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</si>
  <si>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</si>
  <si>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</si>
  <si>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</si>
  <si>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</si>
  <si>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</si>
  <si>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</si>
  <si>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</si>
  <si>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</si>
  <si>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</si>
  <si>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</si>
  <si>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</si>
  <si>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</si>
  <si>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</si>
  <si>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</si>
  <si>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</si>
  <si>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</si>
  <si>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</si>
  <si>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</si>
  <si>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</si>
  <si>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</si>
  <si>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</si>
  <si>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</si>
  <si>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</si>
  <si>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</si>
  <si>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</si>
  <si>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</si>
  <si>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</si>
  <si>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</si>
  <si>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</si>
  <si>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</si>
  <si>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</si>
  <si>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</si>
  <si>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</si>
  <si>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</si>
  <si>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</si>
  <si>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</si>
  <si>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</si>
  <si>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</si>
  <si>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</si>
  <si>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</si>
  <si>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</si>
  <si>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</si>
  <si>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</si>
  <si>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</si>
  <si>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</si>
  <si>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</si>
  <si>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</si>
  <si>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</si>
  <si>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</si>
  <si>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</si>
  <si>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</si>
  <si>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</si>
  <si>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</si>
  <si>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</si>
  <si>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</si>
  <si>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</si>
  <si>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</si>
  <si>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</si>
  <si>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</si>
  <si>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</si>
  <si>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</si>
  <si>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</si>
  <si>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</si>
  <si>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</si>
  <si>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</si>
  <si>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</si>
  <si>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</si>
  <si>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</si>
  <si>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</si>
  <si>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</si>
  <si>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</si>
  <si>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</si>
  <si>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</si>
  <si>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</si>
  <si>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</si>
  <si>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</si>
  <si>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</si>
  <si>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</si>
  <si>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</si>
  <si>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</si>
  <si>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</si>
  <si>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</si>
  <si>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</si>
  <si>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</si>
  <si>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</si>
  <si>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</si>
  <si>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</si>
  <si>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</si>
  <si>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</si>
  <si>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</si>
  <si>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</si>
  <si>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</si>
  <si>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</si>
  <si>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</si>
  <si>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</si>
  <si>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</si>
  <si>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</si>
  <si>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</si>
  <si>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</si>
  <si>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</si>
  <si>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</si>
  <si>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</si>
  <si>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</si>
  <si>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</si>
  <si>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</si>
  <si>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</si>
  <si>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</si>
  <si>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</si>
  <si>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</si>
  <si>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</si>
  <si>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</si>
  <si>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</si>
  <si>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</si>
  <si>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</si>
  <si>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</si>
  <si>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</si>
  <si>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</si>
  <si>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</si>
  <si>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</si>
  <si>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</si>
  <si>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</si>
  <si>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</si>
  <si>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</si>
  <si>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</si>
  <si>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</si>
  <si>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</si>
  <si>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</si>
  <si>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</si>
  <si>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</si>
  <si>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</si>
  <si>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</si>
  <si>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</si>
  <si>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</si>
  <si>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</si>
  <si>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</si>
  <si>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</si>
  <si>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</si>
  <si>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</si>
  <si>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</si>
  <si>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</si>
  <si>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</si>
  <si>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</si>
  <si>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</si>
  <si>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</si>
  <si>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</si>
  <si>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</si>
  <si>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</si>
  <si>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</si>
  <si>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</si>
  <si>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</si>
  <si>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</si>
  <si>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</si>
  <si>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</si>
  <si>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</si>
  <si>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</si>
  <si>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</si>
  <si>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</si>
  <si>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</si>
  <si>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</si>
  <si>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</si>
  <si>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</si>
  <si>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</si>
  <si>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</si>
  <si>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</si>
  <si>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</si>
  <si>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</si>
  <si>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</si>
  <si>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</si>
  <si>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</si>
  <si>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</si>
  <si>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</si>
  <si>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</si>
  <si>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</si>
  <si>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</si>
  <si>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</si>
  <si>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</si>
  <si>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</si>
  <si>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</si>
  <si>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</si>
  <si>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</si>
  <si>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</si>
  <si>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</si>
  <si>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</si>
  <si>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</si>
  <si>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</si>
  <si>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</si>
  <si>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</si>
  <si>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</si>
  <si>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</si>
  <si>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</si>
  <si>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</si>
  <si>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</si>
  <si>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</si>
  <si>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</si>
  <si>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</si>
  <si>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</si>
  <si>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</si>
  <si>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</si>
  <si>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</si>
  <si>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</si>
  <si>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</si>
  <si>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</si>
  <si>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</si>
  <si>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</si>
  <si>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</si>
  <si>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</si>
  <si>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</si>
  <si>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</si>
  <si>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</si>
  <si>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</si>
  <si>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</si>
  <si>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</si>
  <si>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</si>
  <si>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</si>
  <si>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</si>
  <si>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</si>
  <si>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</si>
  <si>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</si>
  <si>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</si>
  <si>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</si>
  <si>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</si>
  <si>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</si>
  <si>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</si>
  <si>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</si>
  <si>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</si>
  <si>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</si>
  <si>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</si>
  <si>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</si>
  <si>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</si>
  <si>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</si>
  <si>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</si>
  <si>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</si>
  <si>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</si>
  <si>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</si>
  <si>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</si>
  <si>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</si>
  <si>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</si>
  <si>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</si>
  <si>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</si>
  <si>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</si>
  <si>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</si>
  <si>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</si>
  <si>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</si>
  <si>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</si>
  <si>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</si>
  <si>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</si>
  <si>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</si>
  <si>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</si>
  <si>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</si>
  <si>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</si>
  <si>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</si>
  <si>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</si>
  <si>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</si>
  <si>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</si>
  <si>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</si>
  <si>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</si>
  <si>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</si>
  <si>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</si>
  <si>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</si>
  <si>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</si>
  <si>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</si>
  <si>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</si>
  <si>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</si>
  <si>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</si>
  <si>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</si>
  <si>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</si>
  <si>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</si>
  <si>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</si>
  <si>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</si>
  <si>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</si>
  <si>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</si>
  <si>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</si>
  <si>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</si>
  <si>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</si>
  <si>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</si>
  <si>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</si>
  <si>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</si>
  <si>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</si>
  <si>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</si>
  <si>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</si>
  <si>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</si>
  <si>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</si>
  <si>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</si>
  <si>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</si>
  <si>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</si>
  <si>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</si>
  <si>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</si>
  <si>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</si>
  <si>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</si>
  <si>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</si>
  <si>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</si>
  <si>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</si>
  <si>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</si>
  <si>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</si>
  <si>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</si>
  <si>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</si>
  <si>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</si>
  <si>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</si>
  <si>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</si>
  <si>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</si>
  <si>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</si>
  <si>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</si>
  <si>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</si>
  <si>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</si>
  <si>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</si>
  <si>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</si>
  <si>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</si>
  <si>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</si>
  <si>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</si>
  <si>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</si>
  <si>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</si>
  <si>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</si>
  <si>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</si>
  <si>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</si>
  <si>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</si>
  <si>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</si>
  <si>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</si>
  <si>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</si>
  <si>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</si>
  <si>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</si>
  <si>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</si>
  <si>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</si>
  <si>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</si>
  <si>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</si>
  <si>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</si>
  <si>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</si>
  <si>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</si>
  <si>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</si>
  <si>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</si>
  <si>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</si>
  <si>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</si>
  <si>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</si>
  <si>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</si>
  <si>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</si>
  <si>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</si>
  <si>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</si>
  <si>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</si>
  <si>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</si>
  <si>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</si>
  <si>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</si>
  <si>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</si>
  <si>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</si>
  <si>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</si>
  <si>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</si>
  <si>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</si>
  <si>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</si>
  <si>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</si>
  <si>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</si>
  <si>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</si>
  <si>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</si>
  <si>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</si>
  <si>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</si>
  <si>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</si>
  <si>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</si>
  <si>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</si>
  <si>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</si>
  <si>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</si>
  <si>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</si>
  <si>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</si>
  <si>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</si>
  <si>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</si>
  <si>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</si>
  <si>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</si>
  <si>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</si>
  <si>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</si>
  <si>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</si>
  <si>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</si>
  <si>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</si>
  <si>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</si>
  <si>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</si>
  <si>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</si>
  <si>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</si>
  <si>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</si>
  <si>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</si>
  <si>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</si>
  <si>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</si>
  <si>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</si>
  <si>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</si>
  <si>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</si>
  <si>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</si>
  <si>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</si>
  <si>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</si>
  <si>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</si>
  <si>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</si>
  <si>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</si>
  <si>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</si>
  <si>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</si>
  <si>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</si>
  <si>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</si>
  <si>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</si>
  <si>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</si>
  <si>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</si>
  <si>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</si>
  <si>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</si>
  <si>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</si>
  <si>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</si>
  <si>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</si>
  <si>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</si>
  <si>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</si>
  <si>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</si>
  <si>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</si>
  <si>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</si>
  <si>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</si>
  <si>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</si>
  <si>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</si>
  <si>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</si>
  <si>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</si>
  <si>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</si>
  <si>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</si>
  <si>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</si>
  <si>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</si>
  <si>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</si>
  <si>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</si>
  <si>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</si>
  <si>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</si>
  <si>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</si>
  <si>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</si>
  <si>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</si>
  <si>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</si>
  <si>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</si>
  <si>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</si>
  <si>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</si>
  <si>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</si>
  <si>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</si>
  <si>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</si>
  <si>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 xml:space="preserve">SalesPerson </t>
  </si>
  <si>
    <t>Row Labels</t>
  </si>
  <si>
    <t>Grand Total</t>
  </si>
  <si>
    <t>Sum of Total Amount</t>
  </si>
  <si>
    <t xml:space="preserve">Name </t>
  </si>
  <si>
    <t>Amount</t>
  </si>
  <si>
    <t>match</t>
  </si>
  <si>
    <t>Index and Match</t>
  </si>
  <si>
    <t>Sum of Quantity</t>
  </si>
  <si>
    <t>Product wise Total Amount</t>
  </si>
  <si>
    <t>Jan</t>
  </si>
  <si>
    <t>Feb</t>
  </si>
  <si>
    <t>Mar</t>
  </si>
  <si>
    <t>Apr</t>
  </si>
  <si>
    <t>May</t>
  </si>
  <si>
    <t>Jun</t>
  </si>
  <si>
    <t>Jul</t>
  </si>
  <si>
    <t>Aug</t>
  </si>
  <si>
    <t>Sep</t>
  </si>
  <si>
    <t>Oct</t>
  </si>
  <si>
    <t>Nov</t>
  </si>
  <si>
    <t>Dec</t>
  </si>
  <si>
    <t>Month wise total Amount</t>
  </si>
  <si>
    <t>Product Wise Total Quantity</t>
  </si>
  <si>
    <t>High Product Category</t>
  </si>
  <si>
    <t>Highest Person Name</t>
  </si>
  <si>
    <t>Total Quantity</t>
  </si>
  <si>
    <t xml:space="preserve">Sales person wise total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</si>
</sst>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0"/>
      <color theme="1"/>
      <name val="Calibri"/>
      <family val="2"/>
      <scheme val="minor"/>
    </font>
    <font>
      <sz val="15"/>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8"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DashDot">
        <color auto="1"/>
      </left>
      <right/>
      <top style="mediumDashDot">
        <color auto="1"/>
      </top>
      <bottom style="mediumDashDot">
        <color auto="1"/>
      </bottom>
      <diagonal/>
    </border>
    <border>
      <left/>
      <right/>
      <top style="mediumDashDot">
        <color auto="1"/>
      </top>
      <bottom style="mediumDashDot">
        <color auto="1"/>
      </bottom>
      <diagonal/>
    </border>
    <border>
      <left/>
      <right style="mediumDashDot">
        <color auto="1"/>
      </right>
      <top style="mediumDashDot">
        <color auto="1"/>
      </top>
      <bottom style="mediumDashDot">
        <color auto="1"/>
      </bottom>
      <diagonal/>
    </border>
  </borders>
  <cellStyleXfs count="1">
    <xf numFmtId="0" fontId="0" fillId="0" borderId="0"/>
  </cellStyleXfs>
  <cellXfs count="3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1" xfId="0" applyFill="1" applyBorder="1"/>
    <xf numFmtId="0" fontId="0" fillId="3" borderId="1" xfId="0" applyFill="1" applyBorder="1"/>
    <xf numFmtId="0" fontId="0" fillId="4" borderId="1" xfId="0" applyFill="1" applyBorder="1"/>
    <xf numFmtId="0" fontId="1" fillId="4" borderId="1" xfId="0" applyFont="1" applyFill="1" applyBorder="1"/>
    <xf numFmtId="0" fontId="1" fillId="2" borderId="1" xfId="0" applyFont="1" applyFill="1" applyBorder="1"/>
    <xf numFmtId="0" fontId="0" fillId="3" borderId="3" xfId="0" applyFill="1" applyBorder="1"/>
    <xf numFmtId="0" fontId="0" fillId="3" borderId="4" xfId="0" applyFill="1" applyBorder="1"/>
    <xf numFmtId="0" fontId="1" fillId="2" borderId="5" xfId="0" applyFont="1" applyFill="1" applyBorder="1"/>
    <xf numFmtId="0" fontId="1" fillId="2" borderId="2" xfId="0" applyFont="1" applyFill="1" applyBorder="1"/>
    <xf numFmtId="0" fontId="1" fillId="2" borderId="6" xfId="0" applyFont="1" applyFill="1" applyBorder="1"/>
    <xf numFmtId="0" fontId="0" fillId="3" borderId="7" xfId="0" applyFill="1" applyBorder="1"/>
    <xf numFmtId="0" fontId="0" fillId="3" borderId="8" xfId="0" applyFill="1" applyBorder="1"/>
    <xf numFmtId="0" fontId="0" fillId="3" borderId="9" xfId="0" applyFill="1" applyBorder="1"/>
    <xf numFmtId="14" fontId="0" fillId="3" borderId="1" xfId="0" applyNumberFormat="1" applyFill="1" applyBorder="1"/>
    <xf numFmtId="10" fontId="0" fillId="0" borderId="0" xfId="0" applyNumberFormat="1"/>
    <xf numFmtId="10" fontId="1" fillId="2" borderId="2" xfId="0" applyNumberFormat="1" applyFont="1" applyFill="1" applyBorder="1"/>
    <xf numFmtId="14" fontId="0" fillId="3" borderId="8" xfId="0" applyNumberFormat="1" applyFill="1" applyBorder="1"/>
    <xf numFmtId="0" fontId="3" fillId="0" borderId="0" xfId="0" applyFont="1"/>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3" fillId="3" borderId="10" xfId="0" applyFont="1" applyFill="1" applyBorder="1" applyAlignment="1">
      <alignment horizontal="center" wrapText="1"/>
    </xf>
    <xf numFmtId="0" fontId="3" fillId="3" borderId="11" xfId="0" applyFont="1" applyFill="1" applyBorder="1" applyAlignment="1">
      <alignment horizontal="center" wrapText="1"/>
    </xf>
    <xf numFmtId="0" fontId="3" fillId="3" borderId="12" xfId="0" applyFont="1" applyFill="1" applyBorder="1" applyAlignment="1">
      <alignment horizontal="center" wrapText="1"/>
    </xf>
    <xf numFmtId="0" fontId="0" fillId="0" borderId="0" xfId="0" applyNumberFormat="1"/>
    <xf numFmtId="0" fontId="0" fillId="0" borderId="0" xfId="0" applyAlignment="1">
      <alignment horizontal="left" wrapText="1"/>
    </xf>
  </cellXfs>
  <cellStyles count="1">
    <cellStyle name="Normal" xfId="0" builtinId="0"/>
  </cellStyles>
  <dxfs count="17">
    <dxf>
      <alignment wrapText="1"/>
    </dxf>
    <dxf>
      <fill>
        <patternFill patternType="solid">
          <fgColor indexed="64"/>
          <bgColor theme="9" tint="0.79998168889431442"/>
        </patternFill>
      </fill>
      <border diagonalUp="0" diagonalDown="0">
        <left style="thin">
          <color auto="1"/>
        </left>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numFmt numFmtId="19" formatCode="dd/mm/yyyy"/>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ill>
        <patternFill patternType="solid">
          <fgColor indexed="64"/>
          <bgColor theme="9" tint="0.79998168889431442"/>
        </patternFill>
      </fill>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border diagonalUp="0" diagonalDown="0" outline="0">
        <left style="thin">
          <color auto="1"/>
        </left>
        <right style="thin">
          <color auto="1"/>
        </right>
        <top/>
        <bottom/>
      </border>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[Book1.xlsx]Pivot table!PivotTable9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Months wise</a:t>
            </a:r>
            <a:r>
              <a:rPr lang="en-IN" b="1" baseline="0"/>
              <a:t> Total Amount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c:f>
              <c:strCache>
                <c:ptCount val="1"/>
                <c:pt idx="0">
                  <c:v>Total</c:v>
                </c:pt>
              </c:strCache>
            </c:strRef>
          </c:tx>
          <c:spPr>
            <a:ln w="28575" cap="rnd">
              <a:solidFill>
                <a:schemeClr val="accent6"/>
              </a:solidFill>
              <a:round/>
            </a:ln>
            <a:effectLst/>
          </c:spPr>
          <c:marker>
            <c:symbol val="none"/>
          </c:marker>
          <c:cat>
            <c:strRef>
              <c:f>'Pivot table'!$A$65:$A$77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table'!$B$65:$B$77</c:f>
              <c:numCache>
                <c:formatCode>General</c:formatCode>
                <c:ptCount val="12"/>
                <c:pt idx="0">
                  <c:v>79045</c:v>
                </c:pt>
                <c:pt idx="1">
                  <c:v>73409</c:v>
                </c:pt>
                <c:pt idx="2">
                  <c:v>75584</c:v>
                </c:pt>
                <c:pt idx="3">
                  <c:v>74772</c:v>
                </c:pt>
                <c:pt idx="4">
                  <c:v>73887</c:v>
                </c:pt>
                <c:pt idx="5">
                  <c:v>63998</c:v>
                </c:pt>
                <c:pt idx="6">
                  <c:v>68543</c:v>
                </c:pt>
                <c:pt idx="7">
                  <c:v>76959</c:v>
                </c:pt>
                <c:pt idx="8">
                  <c:v>61100</c:v>
                </c:pt>
                <c:pt idx="9">
                  <c:v>46339</c:v>
                </c:pt>
                <c:pt idx="10">
                  <c:v>46192</c:v>
                </c:pt>
                <c:pt idx="11">
                  <c:v>47469</c:v>
                </c:pt>
              </c:numCache>
            </c:numRef>
          </c:val>
          <c:smooth val="0"/>
          <c:extLst>
            <c:ext xmlns:c16="http://schemas.microsoft.com/office/drawing/2014/chart" uri="{C3380CC4-5D6E-409C-BE32-E72D297353CC}">
              <c16:uniqueId val="{00000001-643F-4290-9AE0-1A29E1AD7A06}"/>
            </c:ext>
          </c:extLst>
        </c:ser>
        <c:dLbls>
          <c:showLegendKey val="0"/>
          <c:showVal val="0"/>
          <c:showCatName val="0"/>
          <c:showSerName val="0"/>
          <c:showPercent val="0"/>
          <c:showBubbleSize val="0"/>
        </c:dLbls>
        <c:smooth val="0"/>
        <c:axId val="1362242191"/>
        <c:axId val="1362246511"/>
      </c:lineChart>
      <c:catAx>
        <c:axId val="136224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46511"/>
        <c:crosses val="autoZero"/>
        <c:auto val="1"/>
        <c:lblAlgn val="ctr"/>
        <c:lblOffset val="100"/>
        <c:noMultiLvlLbl val="0"/>
      </c:catAx>
      <c:valAx>
        <c:axId val="1362246511"/>
        <c:scaling>
          <c:orientation val="minMax"/>
          <c:min val="4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4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Total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table'!$B$56</c:f>
              <c:strCache>
                <c:ptCount val="1"/>
                <c:pt idx="0">
                  <c:v>Total</c:v>
                </c:pt>
              </c:strCache>
            </c:strRef>
          </c:tx>
          <c:spPr>
            <a:solidFill>
              <a:schemeClr val="accent6"/>
            </a:solidFill>
            <a:ln>
              <a:noFill/>
            </a:ln>
            <a:effectLst/>
          </c:spPr>
          <c:invertIfNegative val="0"/>
          <c:cat>
            <c:strRef>
              <c:f>'Pivot table'!$A$57:$A$62</c:f>
              <c:strCache>
                <c:ptCount val="5"/>
                <c:pt idx="0">
                  <c:v>Beauty</c:v>
                </c:pt>
                <c:pt idx="1">
                  <c:v>Clothing</c:v>
                </c:pt>
                <c:pt idx="2">
                  <c:v>Electronics</c:v>
                </c:pt>
                <c:pt idx="3">
                  <c:v>Grocery</c:v>
                </c:pt>
                <c:pt idx="4">
                  <c:v>Sports</c:v>
                </c:pt>
              </c:strCache>
            </c:strRef>
          </c:cat>
          <c:val>
            <c:numRef>
              <c:f>'Pivot table'!$B$57:$B$62</c:f>
              <c:numCache>
                <c:formatCode>General</c:formatCode>
                <c:ptCount val="5"/>
                <c:pt idx="0">
                  <c:v>173633</c:v>
                </c:pt>
                <c:pt idx="1">
                  <c:v>141115</c:v>
                </c:pt>
                <c:pt idx="2">
                  <c:v>176511</c:v>
                </c:pt>
                <c:pt idx="3">
                  <c:v>129216</c:v>
                </c:pt>
                <c:pt idx="4">
                  <c:v>166822</c:v>
                </c:pt>
              </c:numCache>
            </c:numRef>
          </c:val>
          <c:extLst>
            <c:ext xmlns:c16="http://schemas.microsoft.com/office/drawing/2014/chart" uri="{C3380CC4-5D6E-409C-BE32-E72D297353CC}">
              <c16:uniqueId val="{00000000-AE6B-4173-95F6-F8E875DAFADE}"/>
            </c:ext>
          </c:extLst>
        </c:ser>
        <c:dLbls>
          <c:showLegendKey val="0"/>
          <c:showVal val="0"/>
          <c:showCatName val="0"/>
          <c:showSerName val="0"/>
          <c:showPercent val="0"/>
          <c:showBubbleSize val="0"/>
        </c:dLbls>
        <c:gapWidth val="182"/>
        <c:axId val="1362240271"/>
        <c:axId val="1362224431"/>
      </c:barChart>
      <c:catAx>
        <c:axId val="136224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24431"/>
        <c:crosses val="autoZero"/>
        <c:auto val="1"/>
        <c:lblAlgn val="ctr"/>
        <c:lblOffset val="100"/>
        <c:noMultiLvlLbl val="0"/>
      </c:catAx>
      <c:valAx>
        <c:axId val="1362224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4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[Book1.xlsx]Pivot table!PivotTable10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Wise Total Quantity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table'!$B$80</c:f>
              <c:strCache>
                <c:ptCount val="1"/>
                <c:pt idx="0">
                  <c:v>Total</c:v>
                </c:pt>
              </c:strCache>
            </c:strRef>
          </c:tx>
          <c:dPt>
            <c:idx val="0"/>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CC8-4F1B-8C6D-92CC53451C85}"/>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CC8-4F1B-8C6D-92CC53451C85}"/>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CC8-4F1B-8C6D-92CC53451C85}"/>
              </c:ext>
            </c:extLst>
          </c:dPt>
          <c:dPt>
            <c:idx val="3"/>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CC8-4F1B-8C6D-92CC53451C85}"/>
              </c:ext>
            </c:extLst>
          </c:dPt>
          <c:dPt>
            <c:idx val="4"/>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CC8-4F1B-8C6D-92CC53451C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table'!$A$81:$A$86</c:f>
              <c:strCache>
                <c:ptCount val="5"/>
                <c:pt idx="0">
                  <c:v>Beauty</c:v>
                </c:pt>
                <c:pt idx="1">
                  <c:v>Electronics</c:v>
                </c:pt>
                <c:pt idx="2">
                  <c:v>Sports</c:v>
                </c:pt>
                <c:pt idx="3">
                  <c:v>Clothing</c:v>
                </c:pt>
                <c:pt idx="4">
                  <c:v>Grocery</c:v>
                </c:pt>
              </c:strCache>
            </c:strRef>
          </c:cat>
          <c:val>
            <c:numRef>
              <c:f>'Pivot table'!$B$81:$B$86</c:f>
              <c:numCache>
                <c:formatCode>General</c:formatCode>
                <c:ptCount val="5"/>
                <c:pt idx="0">
                  <c:v>661</c:v>
                </c:pt>
                <c:pt idx="1">
                  <c:v>645</c:v>
                </c:pt>
                <c:pt idx="2">
                  <c:v>639</c:v>
                </c:pt>
                <c:pt idx="3">
                  <c:v>540</c:v>
                </c:pt>
                <c:pt idx="4">
                  <c:v>526</c:v>
                </c:pt>
              </c:numCache>
            </c:numRef>
          </c:val>
          <c:extLst>
            <c:ext xmlns:c16="http://schemas.microsoft.com/office/drawing/2014/chart" uri="{C3380CC4-5D6E-409C-BE32-E72D297353CC}">
              <c16:uniqueId val="{0000000A-FCC8-4F1B-8C6D-92CC53451C8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[Book1.xlsx]Pivot table!PivotTable1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Sales person wise total Amount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solidFill>
              <a:schemeClr val="accent6"/>
            </a:solidFill>
            <a:ln>
              <a:noFill/>
            </a:ln>
            <a:effectLst/>
          </c:spPr>
          <c:invertIfNegative val="0"/>
          <c:cat>
            <c:multiLvlStrRef>
              <c:f>'Pivot table'!$A$23:$A$35</c:f>
              <c:multiLvlStrCache>
                <c:ptCount val="8"/>
                <c:lvl>
                  <c:pt idx="0">
                    <c:v>Female</c:v>
                  </c:pt>
                  <c:pt idx="1">
                    <c:v>Male</c:v>
                  </c:pt>
                  <c:pt idx="2">
                    <c:v>Male</c:v>
                  </c:pt>
                  <c:pt idx="3">
                    <c:v>Female</c:v>
                  </c:pt>
                  <c:pt idx="4">
                    <c:v>Female</c:v>
                  </c:pt>
                  <c:pt idx="5">
                    <c:v>Male</c:v>
                  </c:pt>
                  <c:pt idx="6">
                    <c:v>Female</c:v>
                  </c:pt>
                  <c:pt idx="7">
                    <c:v>Male</c:v>
                  </c:pt>
                </c:lvl>
                <c:lvl>
                  <c:pt idx="0">
                    <c:v>Bob</c:v>
                  </c:pt>
                  <c:pt idx="2">
                    <c:v>Diana</c:v>
                  </c:pt>
                  <c:pt idx="4">
                    <c:v>Charlie</c:v>
                  </c:pt>
                  <c:pt idx="6">
                    <c:v>Alice</c:v>
                  </c:pt>
                </c:lvl>
              </c:multiLvlStrCache>
            </c:multiLvlStrRef>
          </c:cat>
          <c:val>
            <c:numRef>
              <c:f>'Pivot table'!$B$23:$B$35</c:f>
              <c:numCache>
                <c:formatCode>General</c:formatCode>
                <c:ptCount val="8"/>
                <c:pt idx="0">
                  <c:v>109963</c:v>
                </c:pt>
                <c:pt idx="1">
                  <c:v>98945</c:v>
                </c:pt>
                <c:pt idx="2">
                  <c:v>102898</c:v>
                </c:pt>
                <c:pt idx="3">
                  <c:v>98188</c:v>
                </c:pt>
                <c:pt idx="4">
                  <c:v>106065</c:v>
                </c:pt>
                <c:pt idx="5">
                  <c:v>93258</c:v>
                </c:pt>
                <c:pt idx="6">
                  <c:v>89235</c:v>
                </c:pt>
                <c:pt idx="7">
                  <c:v>88745</c:v>
                </c:pt>
              </c:numCache>
            </c:numRef>
          </c:val>
          <c:extLst>
            <c:ext xmlns:c16="http://schemas.microsoft.com/office/drawing/2014/chart" uri="{C3380CC4-5D6E-409C-BE32-E72D297353CC}">
              <c16:uniqueId val="{00000000-5D0A-430A-B999-43986D7545B3}"/>
            </c:ext>
          </c:extLst>
        </c:ser>
        <c:dLbls>
          <c:showLegendKey val="0"/>
          <c:showVal val="0"/>
          <c:showCatName val="0"/>
          <c:showSerName val="0"/>
          <c:showPercent val="0"/>
          <c:showBubbleSize val="0"/>
        </c:dLbls>
        <c:gapWidth val="219"/>
        <c:overlap val="-27"/>
        <c:axId val="1491913983"/>
        <c:axId val="1491914463"/>
      </c:barChart>
      <c:catAx>
        <c:axId val="149191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914463"/>
        <c:crosses val="autoZero"/>
        <c:auto val="1"/>
        <c:lblAlgn val="ctr"/>
        <c:lblOffset val="100"/>
        <c:noMultiLvlLbl val="0"/>
      </c:catAx>
      <c:valAx>
        <c:axId val="149191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91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Total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table'!$B$56</c:f>
              <c:strCache>
                <c:ptCount val="1"/>
                <c:pt idx="0">
                  <c:v>Total</c:v>
                </c:pt>
              </c:strCache>
            </c:strRef>
          </c:tx>
          <c:spPr>
            <a:solidFill>
              <a:schemeClr val="accent1"/>
            </a:solidFill>
            <a:ln>
              <a:noFill/>
            </a:ln>
            <a:effectLst/>
          </c:spPr>
          <c:invertIfNegative val="0"/>
          <c:cat>
            <c:strRef>
              <c:f>'Pivot table'!$A$57:$A$62</c:f>
              <c:strCache>
                <c:ptCount val="5"/>
                <c:pt idx="0">
                  <c:v>Beauty</c:v>
                </c:pt>
                <c:pt idx="1">
                  <c:v>Clothing</c:v>
                </c:pt>
                <c:pt idx="2">
                  <c:v>Electronics</c:v>
                </c:pt>
                <c:pt idx="3">
                  <c:v>Grocery</c:v>
                </c:pt>
                <c:pt idx="4">
                  <c:v>Sports</c:v>
                </c:pt>
              </c:strCache>
            </c:strRef>
          </c:cat>
          <c:val>
            <c:numRef>
              <c:f>'Pivot table'!$B$57:$B$62</c:f>
              <c:numCache>
                <c:formatCode>General</c:formatCode>
                <c:ptCount val="5"/>
                <c:pt idx="0">
                  <c:v>173633</c:v>
                </c:pt>
                <c:pt idx="1">
                  <c:v>141115</c:v>
                </c:pt>
                <c:pt idx="2">
                  <c:v>176511</c:v>
                </c:pt>
                <c:pt idx="3">
                  <c:v>129216</c:v>
                </c:pt>
                <c:pt idx="4">
                  <c:v>166822</c:v>
                </c:pt>
              </c:numCache>
            </c:numRef>
          </c:val>
          <c:extLst>
            <c:ext xmlns:c16="http://schemas.microsoft.com/office/drawing/2014/chart" uri="{C3380CC4-5D6E-409C-BE32-E72D297353CC}">
              <c16:uniqueId val="{00000000-90A3-4591-AA16-336999FEBED7}"/>
            </c:ext>
          </c:extLst>
        </c:ser>
        <c:dLbls>
          <c:showLegendKey val="0"/>
          <c:showVal val="0"/>
          <c:showCatName val="0"/>
          <c:showSerName val="0"/>
          <c:showPercent val="0"/>
          <c:showBubbleSize val="0"/>
        </c:dLbls>
        <c:gapWidth val="182"/>
        <c:axId val="1362240271"/>
        <c:axId val="1362224431"/>
      </c:barChart>
      <c:catAx>
        <c:axId val="136224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24431"/>
        <c:crosses val="autoZero"/>
        <c:auto val="1"/>
        <c:lblAlgn val="ctr"/>
        <c:lblOffset val="100"/>
        <c:noMultiLvlLbl val="0"/>
      </c:catAx>
      <c:valAx>
        <c:axId val="1362224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4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Months wise</a:t>
            </a:r>
            <a:r>
              <a:rPr lang="en-IN" baseline="0"/>
              <a:t> Total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c:f>
              <c:strCache>
                <c:ptCount val="1"/>
                <c:pt idx="0">
                  <c:v>Total</c:v>
                </c:pt>
              </c:strCache>
            </c:strRef>
          </c:tx>
          <c:spPr>
            <a:ln w="28575" cap="rnd">
              <a:solidFill>
                <a:schemeClr val="accent1"/>
              </a:solidFill>
              <a:round/>
            </a:ln>
            <a:effectLst/>
          </c:spPr>
          <c:marker>
            <c:symbol val="none"/>
          </c:marker>
          <c:cat>
            <c:strRef>
              <c:f>'Pivot table'!$A$65:$A$77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table'!$B$65:$B$77</c:f>
              <c:numCache>
                <c:formatCode>General</c:formatCode>
                <c:ptCount val="12"/>
                <c:pt idx="0">
                  <c:v>79045</c:v>
                </c:pt>
                <c:pt idx="1">
                  <c:v>73409</c:v>
                </c:pt>
                <c:pt idx="2">
                  <c:v>75584</c:v>
                </c:pt>
                <c:pt idx="3">
                  <c:v>74772</c:v>
                </c:pt>
                <c:pt idx="4">
                  <c:v>73887</c:v>
                </c:pt>
                <c:pt idx="5">
                  <c:v>63998</c:v>
                </c:pt>
                <c:pt idx="6">
                  <c:v>68543</c:v>
                </c:pt>
                <c:pt idx="7">
                  <c:v>76959</c:v>
                </c:pt>
                <c:pt idx="8">
                  <c:v>61100</c:v>
                </c:pt>
                <c:pt idx="9">
                  <c:v>46339</c:v>
                </c:pt>
                <c:pt idx="10">
                  <c:v>46192</c:v>
                </c:pt>
                <c:pt idx="11">
                  <c:v>47469</c:v>
                </c:pt>
              </c:numCache>
            </c:numRef>
          </c:val>
          <c:smooth val="0"/>
          <c:extLst>
            <c:ext xmlns:c16="http://schemas.microsoft.com/office/drawing/2014/chart" uri="{C3380CC4-5D6E-409C-BE32-E72D297353CC}">
              <c16:uniqueId val="{00000000-7048-4FB1-A43B-935C665457D5}"/>
            </c:ext>
          </c:extLst>
        </c:ser>
        <c:dLbls>
          <c:showLegendKey val="0"/>
          <c:showVal val="0"/>
          <c:showCatName val="0"/>
          <c:showSerName val="0"/>
          <c:showPercent val="0"/>
          <c:showBubbleSize val="0"/>
        </c:dLbls>
        <c:smooth val="0"/>
        <c:axId val="1362242191"/>
        <c:axId val="1362246511"/>
      </c:lineChart>
      <c:catAx>
        <c:axId val="136224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46511"/>
        <c:crosses val="autoZero"/>
        <c:auto val="1"/>
        <c:lblAlgn val="ctr"/>
        <c:lblOffset val="100"/>
        <c:noMultiLvlLbl val="0"/>
      </c:catAx>
      <c:valAx>
        <c:axId val="1362246511"/>
        <c:scaling>
          <c:orientation val="minMax"/>
          <c:min val="4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4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Wise Total Quantity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table'!$B$80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830-4F7E-B29A-DA77C51887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30-4F7E-B29A-DA77C51887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30-4F7E-B29A-DA77C518871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830-4F7E-B29A-DA77C518871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830-4F7E-B29A-DA77C51887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table'!$A$81:$A$86</c:f>
              <c:strCache>
                <c:ptCount val="5"/>
                <c:pt idx="0">
                  <c:v>Beauty</c:v>
                </c:pt>
                <c:pt idx="1">
                  <c:v>Electronics</c:v>
                </c:pt>
                <c:pt idx="2">
                  <c:v>Sports</c:v>
                </c:pt>
                <c:pt idx="3">
                  <c:v>Clothing</c:v>
                </c:pt>
                <c:pt idx="4">
                  <c:v>Grocery</c:v>
                </c:pt>
              </c:strCache>
            </c:strRef>
          </c:cat>
          <c:val>
            <c:numRef>
              <c:f>'Pivot table'!$B$81:$B$86</c:f>
              <c:numCache>
                <c:formatCode>General</c:formatCode>
                <c:ptCount val="5"/>
                <c:pt idx="0">
                  <c:v>661</c:v>
                </c:pt>
                <c:pt idx="1">
                  <c:v>645</c:v>
                </c:pt>
                <c:pt idx="2">
                  <c:v>639</c:v>
                </c:pt>
                <c:pt idx="3">
                  <c:v>540</c:v>
                </c:pt>
                <c:pt idx="4">
                  <c:v>526</c:v>
                </c:pt>
              </c:numCache>
            </c:numRef>
          </c:val>
          <c:extLst>
            <c:ext xmlns:c16="http://schemas.microsoft.com/office/drawing/2014/chart" uri="{C3380CC4-5D6E-409C-BE32-E72D297353CC}">
              <c16:uniqueId val="{00000000-DC9F-4C62-AFE8-766D7CBBC5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0A-4777-903D-8D0FBC4B7C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0A-4777-903D-8D0FBC4B7CCD}"/>
              </c:ext>
            </c:extLst>
          </c:dPt>
          <c:cat>
            <c:strRef>
              <c:f>'Pivot table'!$A$2:$A$4</c:f>
              <c:strCache>
                <c:ptCount val="2"/>
                <c:pt idx="0">
                  <c:v>Female</c:v>
                </c:pt>
                <c:pt idx="1">
                  <c:v>Male</c:v>
                </c:pt>
              </c:strCache>
            </c:strRef>
          </c:cat>
          <c:val>
            <c:numRef>
              <c:f>'Pivot table'!$B$2:$B$4</c:f>
              <c:numCache>
                <c:formatCode>General</c:formatCode>
                <c:ptCount val="2"/>
                <c:pt idx="0">
                  <c:v>1536</c:v>
                </c:pt>
                <c:pt idx="1">
                  <c:v>1475</c:v>
                </c:pt>
              </c:numCache>
            </c:numRef>
          </c:val>
          <c:extLst>
            <c:ext xmlns:c16="http://schemas.microsoft.com/office/drawing/2014/chart" uri="{C3380CC4-5D6E-409C-BE32-E72D297353CC}">
              <c16:uniqueId val="{00000000-A115-4BCC-A192-005F020619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Sales person wise total Amount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solidFill>
              <a:schemeClr val="accent1"/>
            </a:solidFill>
            <a:ln>
              <a:noFill/>
            </a:ln>
            <a:effectLst/>
          </c:spPr>
          <c:invertIfNegative val="0"/>
          <c:cat>
            <c:multiLvlStrRef>
              <c:f>'Pivot table'!$A$23:$A$35</c:f>
              <c:multiLvlStrCache>
                <c:ptCount val="8"/>
                <c:lvl>
                  <c:pt idx="0">
                    <c:v>Female</c:v>
                  </c:pt>
                  <c:pt idx="1">
                    <c:v>Male</c:v>
                  </c:pt>
                  <c:pt idx="2">
                    <c:v>Male</c:v>
                  </c:pt>
                  <c:pt idx="3">
                    <c:v>Female</c:v>
                  </c:pt>
                  <c:pt idx="4">
                    <c:v>Female</c:v>
                  </c:pt>
                  <c:pt idx="5">
                    <c:v>Male</c:v>
                  </c:pt>
                  <c:pt idx="6">
                    <c:v>Female</c:v>
                  </c:pt>
                  <c:pt idx="7">
                    <c:v>Male</c:v>
                  </c:pt>
                </c:lvl>
                <c:lvl>
                  <c:pt idx="0">
                    <c:v>Bob</c:v>
                  </c:pt>
                  <c:pt idx="2">
                    <c:v>Diana</c:v>
                  </c:pt>
                  <c:pt idx="4">
                    <c:v>Charlie</c:v>
                  </c:pt>
                  <c:pt idx="6">
                    <c:v>Alice</c:v>
                  </c:pt>
                </c:lvl>
              </c:multiLvlStrCache>
            </c:multiLvlStrRef>
          </c:cat>
          <c:val>
            <c:numRef>
              <c:f>'Pivot table'!$B$23:$B$35</c:f>
              <c:numCache>
                <c:formatCode>General</c:formatCode>
                <c:ptCount val="8"/>
                <c:pt idx="0">
                  <c:v>109963</c:v>
                </c:pt>
                <c:pt idx="1">
                  <c:v>98945</c:v>
                </c:pt>
                <c:pt idx="2">
                  <c:v>102898</c:v>
                </c:pt>
                <c:pt idx="3">
                  <c:v>98188</c:v>
                </c:pt>
                <c:pt idx="4">
                  <c:v>106065</c:v>
                </c:pt>
                <c:pt idx="5">
                  <c:v>93258</c:v>
                </c:pt>
                <c:pt idx="6">
                  <c:v>89235</c:v>
                </c:pt>
                <c:pt idx="7">
                  <c:v>88745</c:v>
                </c:pt>
              </c:numCache>
            </c:numRef>
          </c:val>
          <c:extLst>
            <c:ext xmlns:c16="http://schemas.microsoft.com/office/drawing/2014/chart" uri="{C3380CC4-5D6E-409C-BE32-E72D297353CC}">
              <c16:uniqueId val="{00000000-C70A-4E22-ABDD-FD0D03447253}"/>
            </c:ext>
          </c:extLst>
        </c:ser>
        <c:dLbls>
          <c:showLegendKey val="0"/>
          <c:showVal val="0"/>
          <c:showCatName val="0"/>
          <c:showSerName val="0"/>
          <c:showPercent val="0"/>
          <c:showBubbleSize val="0"/>
        </c:dLbls>
        <c:gapWidth val="219"/>
        <c:overlap val="-27"/>
        <c:axId val="1491913983"/>
        <c:axId val="1491914463"/>
      </c:barChart>
      <c:catAx>
        <c:axId val="149191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914463"/>
        <c:crosses val="autoZero"/>
        <c:auto val="1"/>
        <c:lblAlgn val="ctr"/>
        <c:lblOffset val="100"/>
        <c:noMultiLvlLbl val="0"/>
      </c:catAx>
      <c:valAx>
        <c:axId val="149191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91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251460</xdr:colOff>
      <xdr:row>1</xdr:row>
      <xdr:rowOff>53340</xdr:rowOff>
    </xdr:from>
    <xdr:to>
      <xdr:col>17</xdr:col>
      <xdr:colOff>175260</xdr:colOff>
      <xdr:row>4</xdr:row>
      <xdr:rowOff>30480</xdr:rowOff>
    </xdr:to>
    <xdr:sp macro="" textlink="">
      <xdr:nvSpPr>
        <xdr:cNvPr id="2" name="Rectangle: Rounded Corners 1">
          <a:extLst>
            <a:ext uri="{FF2B5EF4-FFF2-40B4-BE49-F238E27FC236}">
              <a16:creationId xmlns:a16="http://schemas.microsoft.com/office/drawing/2014/main" id="{1B337E67-BE52-F2A6-DD89-351B4D1646DE}"/>
            </a:ext>
          </a:extLst>
        </xdr:cNvPr>
        <xdr:cNvSpPr/>
      </xdr:nvSpPr>
      <xdr:spPr>
        <a:xfrm>
          <a:off x="3299460" y="236220"/>
          <a:ext cx="6629400" cy="52578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cap="none" spc="0">
              <a:ln w="0"/>
              <a:solidFill>
                <a:schemeClr val="accent6">
                  <a:lumMod val="75000"/>
                </a:schemeClr>
              </a:solidFill>
              <a:effectLst>
                <a:reflection blurRad="6350" stA="53000" endA="300" endPos="35500" dir="5400000" sy="-90000" algn="bl" rotWithShape="0"/>
              </a:effectLst>
            </a:rPr>
            <a:t>Customer</a:t>
          </a:r>
          <a:r>
            <a:rPr lang="en-IN" sz="2500" b="1" cap="none" spc="0" baseline="0">
              <a:ln w="0"/>
              <a:solidFill>
                <a:schemeClr val="accent6">
                  <a:lumMod val="75000"/>
                </a:schemeClr>
              </a:solidFill>
              <a:effectLst>
                <a:reflection blurRad="6350" stA="53000" endA="300" endPos="35500" dir="5400000" sy="-90000" algn="bl" rotWithShape="0"/>
              </a:effectLst>
            </a:rPr>
            <a:t> Sales Performace Dashboard</a:t>
          </a:r>
        </a:p>
        <a:p>
          <a:pPr algn="l"/>
          <a:endParaRPr lang="en-IN" sz="1200" b="1" cap="none" spc="0">
            <a:ln w="0"/>
            <a:solidFill>
              <a:schemeClr val="accent6">
                <a:lumMod val="75000"/>
              </a:schemeClr>
            </a:solidFill>
            <a:effectLst>
              <a:reflection blurRad="6350" stA="53000" endA="300" endPos="35500" dir="5400000" sy="-90000" algn="bl" rotWithShape="0"/>
            </a:effectLst>
          </a:endParaRPr>
        </a:p>
      </xdr:txBody>
    </xdr:sp>
    <xdr:clientData/>
  </xdr:twoCellAnchor>
  <xdr:twoCellAnchor editAs="oneCell">
    <xdr:from>
      <xdr:col>6</xdr:col>
      <xdr:colOff>373380</xdr:colOff>
      <xdr:row>1</xdr:row>
      <xdr:rowOff>22860</xdr:rowOff>
    </xdr:from>
    <xdr:to>
      <xdr:col>7</xdr:col>
      <xdr:colOff>304799</xdr:colOff>
      <xdr:row>4</xdr:row>
      <xdr:rowOff>15240</xdr:rowOff>
    </xdr:to>
    <xdr:pic>
      <xdr:nvPicPr>
        <xdr:cNvPr id="5" name="Graphic 4" descr="Gauge with solid fill">
          <a:extLst>
            <a:ext uri="{FF2B5EF4-FFF2-40B4-BE49-F238E27FC236}">
              <a16:creationId xmlns:a16="http://schemas.microsoft.com/office/drawing/2014/main" id="{6BC8889F-0A90-951F-CB34-BA7F0DA707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21380" y="205740"/>
          <a:ext cx="541020" cy="541020"/>
        </a:xfrm>
        <a:prstGeom prst="rect">
          <a:avLst/>
        </a:prstGeom>
      </xdr:spPr>
    </xdr:pic>
    <xdr:clientData/>
  </xdr:twoCellAnchor>
  <xdr:twoCellAnchor editAs="oneCell">
    <xdr:from>
      <xdr:col>16</xdr:col>
      <xdr:colOff>121920</xdr:colOff>
      <xdr:row>1</xdr:row>
      <xdr:rowOff>30480</xdr:rowOff>
    </xdr:from>
    <xdr:to>
      <xdr:col>17</xdr:col>
      <xdr:colOff>53339</xdr:colOff>
      <xdr:row>4</xdr:row>
      <xdr:rowOff>22860</xdr:rowOff>
    </xdr:to>
    <xdr:pic>
      <xdr:nvPicPr>
        <xdr:cNvPr id="6" name="Graphic 5" descr="Gauge with solid fill">
          <a:extLst>
            <a:ext uri="{FF2B5EF4-FFF2-40B4-BE49-F238E27FC236}">
              <a16:creationId xmlns:a16="http://schemas.microsoft.com/office/drawing/2014/main" id="{CC9BB839-61D0-4D70-A0DD-52E1377955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65920" y="213360"/>
          <a:ext cx="541020" cy="541020"/>
        </a:xfrm>
        <a:prstGeom prst="rect">
          <a:avLst/>
        </a:prstGeom>
      </xdr:spPr>
    </xdr:pic>
    <xdr:clientData/>
  </xdr:twoCellAnchor>
  <xdr:twoCellAnchor>
    <xdr:from>
      <xdr:col>12</xdr:col>
      <xdr:colOff>901146</xdr:colOff>
      <xdr:row>17</xdr:row>
      <xdr:rowOff>148631</xdr:rowOff>
    </xdr:from>
    <xdr:to>
      <xdr:col>20</xdr:col>
      <xdr:colOff>226088</xdr:colOff>
      <xdr:row>32</xdr:row>
      <xdr:rowOff>148631</xdr:rowOff>
    </xdr:to>
    <xdr:graphicFrame macro="">
      <xdr:nvGraphicFramePr>
        <xdr:cNvPr id="7" name="Chart 6">
          <a:extLst>
            <a:ext uri="{FF2B5EF4-FFF2-40B4-BE49-F238E27FC236}">
              <a16:creationId xmlns:a16="http://schemas.microsoft.com/office/drawing/2014/main" id="{0C22CE45-3EEC-4AB5-99E4-C1F1080BC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584592</xdr:colOff>
      <xdr:row>33</xdr:row>
      <xdr:rowOff>38992</xdr:rowOff>
    </xdr:from>
    <xdr:to>
      <xdr:col>12</xdr:col>
      <xdr:colOff>753626</xdr:colOff>
      <xdr:row>48</xdr:row>
      <xdr:rowOff>38992</xdr:rowOff>
    </xdr:to>
    <xdr:graphicFrame macro="">
      <xdr:nvGraphicFramePr>
        <xdr:cNvPr id="8" name="Chart 7">
          <a:extLst>
            <a:ext uri="{FF2B5EF4-FFF2-40B4-BE49-F238E27FC236}">
              <a16:creationId xmlns:a16="http://schemas.microsoft.com/office/drawing/2014/main" id="{11EB3D61-BFB5-4BC9-9DA0-CA7309169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912725</xdr:colOff>
      <xdr:row>33</xdr:row>
      <xdr:rowOff>74985</xdr:rowOff>
    </xdr:from>
    <xdr:to>
      <xdr:col>20</xdr:col>
      <xdr:colOff>259582</xdr:colOff>
      <xdr:row>48</xdr:row>
      <xdr:rowOff>25057</xdr:rowOff>
    </xdr:to>
    <xdr:graphicFrame macro="">
      <xdr:nvGraphicFramePr>
        <xdr:cNvPr id="10" name="Chart 9">
          <a:extLst>
            <a:ext uri="{FF2B5EF4-FFF2-40B4-BE49-F238E27FC236}">
              <a16:creationId xmlns:a16="http://schemas.microsoft.com/office/drawing/2014/main" id="{C1323E76-1C98-45C7-9398-4985E7A77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384577</xdr:colOff>
      <xdr:row>8</xdr:row>
      <xdr:rowOff>123727</xdr:rowOff>
    </xdr:from>
    <xdr:to>
      <xdr:col>19</xdr:col>
      <xdr:colOff>149087</xdr:colOff>
      <xdr:row>16</xdr:row>
      <xdr:rowOff>29967</xdr:rowOff>
    </xdr:to>
    <mc:AlternateContent xmlns:mc="http://schemas.openxmlformats.org/markup-compatibility/2006">
      <mc:Choice xmlns:tsle="http://schemas.microsoft.com/office/drawing/2012/timeslicer" Requires="tsle">
        <xdr:graphicFrame macro="">
          <xdr:nvGraphicFramePr>
            <xdr:cNvPr id="3" name="Date 1">
              <a:extLst>
                <a:ext uri="{FF2B5EF4-FFF2-40B4-BE49-F238E27FC236}">
                  <a16:creationId xmlns:a16="http://schemas.microsoft.com/office/drawing/2014/main" id="{290BCA62-9310-4D13-8A7E-A3353C1F3871}"/>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994177" y="1713041"/>
              <a:ext cx="12348396" cy="138669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219075</xdr:colOff>
      <xdr:row>17</xdr:row>
      <xdr:rowOff>104776</xdr:rowOff>
    </xdr:from>
    <xdr:to>
      <xdr:col>3</xdr:col>
      <xdr:colOff>219075</xdr:colOff>
      <xdr:row>22</xdr:row>
      <xdr:rowOff>85725</xdr:rowOff>
    </xdr:to>
    <mc:AlternateContent xmlns:mc="http://schemas.openxmlformats.org/markup-compatibility/2006">
      <mc:Choice xmlns:a14="http://schemas.microsoft.com/office/drawing/2010/main" Requires="a14">
        <xdr:graphicFrame macro="">
          <xdr:nvGraphicFramePr>
            <xdr:cNvPr id="4" name="SalesPerson  1">
              <a:extLst>
                <a:ext uri="{FF2B5EF4-FFF2-40B4-BE49-F238E27FC236}">
                  <a16:creationId xmlns:a16="http://schemas.microsoft.com/office/drawing/2014/main" id="{FF25CD4D-AF65-421A-8673-B2DA56AF0DE6}"/>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219075" y="3359605"/>
              <a:ext cx="1828800" cy="906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231249</xdr:colOff>
      <xdr:row>23</xdr:row>
      <xdr:rowOff>18911</xdr:rowOff>
    </xdr:from>
    <xdr:to>
      <xdr:col>3</xdr:col>
      <xdr:colOff>231249</xdr:colOff>
      <xdr:row>26</xdr:row>
      <xdr:rowOff>104775</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6AF79199-A276-4D27-B9C9-18090DD18E9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31249" y="4384082"/>
              <a:ext cx="1828800" cy="641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39</xdr:row>
      <xdr:rowOff>42933</xdr:rowOff>
    </xdr:from>
    <xdr:to>
      <xdr:col>3</xdr:col>
      <xdr:colOff>236220</xdr:colOff>
      <xdr:row>50</xdr:row>
      <xdr:rowOff>114300</xdr:rowOff>
    </xdr:to>
    <mc:AlternateContent xmlns:mc="http://schemas.openxmlformats.org/markup-compatibility/2006">
      <mc:Choice xmlns:a14="http://schemas.microsoft.com/office/drawing/2010/main" Requires="a14">
        <xdr:graphicFrame macro="">
          <xdr:nvGraphicFramePr>
            <xdr:cNvPr id="12" name="Age 1">
              <a:extLst>
                <a:ext uri="{FF2B5EF4-FFF2-40B4-BE49-F238E27FC236}">
                  <a16:creationId xmlns:a16="http://schemas.microsoft.com/office/drawing/2014/main" id="{A12A2DA0-F3DB-476C-9F35-8466D3E9C5C4}"/>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236220" y="7369019"/>
              <a:ext cx="1828800" cy="2106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260706</xdr:colOff>
      <xdr:row>32</xdr:row>
      <xdr:rowOff>67883</xdr:rowOff>
    </xdr:from>
    <xdr:to>
      <xdr:col>3</xdr:col>
      <xdr:colOff>260706</xdr:colOff>
      <xdr:row>38</xdr:row>
      <xdr:rowOff>152400</xdr:rowOff>
    </xdr:to>
    <mc:AlternateContent xmlns:mc="http://schemas.openxmlformats.org/markup-compatibility/2006">
      <mc:Choice xmlns:a14="http://schemas.microsoft.com/office/drawing/2010/main" Requires="a14">
        <xdr:graphicFrame macro="">
          <xdr:nvGraphicFramePr>
            <xdr:cNvPr id="13" name="Product Category 1">
              <a:extLst>
                <a:ext uri="{FF2B5EF4-FFF2-40B4-BE49-F238E27FC236}">
                  <a16:creationId xmlns:a16="http://schemas.microsoft.com/office/drawing/2014/main" id="{06CA57E9-FDA3-4145-A27D-9278D3BC32C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260706" y="6098569"/>
              <a:ext cx="1828800" cy="1194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226881</xdr:colOff>
      <xdr:row>27</xdr:row>
      <xdr:rowOff>22907</xdr:rowOff>
    </xdr:from>
    <xdr:to>
      <xdr:col>3</xdr:col>
      <xdr:colOff>226881</xdr:colOff>
      <xdr:row>31</xdr:row>
      <xdr:rowOff>152401</xdr:rowOff>
    </xdr:to>
    <mc:AlternateContent xmlns:mc="http://schemas.openxmlformats.org/markup-compatibility/2006">
      <mc:Choice xmlns:a14="http://schemas.microsoft.com/office/drawing/2010/main" Requires="a14">
        <xdr:graphicFrame macro="">
          <xdr:nvGraphicFramePr>
            <xdr:cNvPr id="14" name="Quantity 1">
              <a:extLst>
                <a:ext uri="{FF2B5EF4-FFF2-40B4-BE49-F238E27FC236}">
                  <a16:creationId xmlns:a16="http://schemas.microsoft.com/office/drawing/2014/main" id="{471D3CF5-65E0-49CA-9B35-1DC5E91EBAF1}"/>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226881" y="5128307"/>
              <a:ext cx="1828800" cy="869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408670</xdr:colOff>
      <xdr:row>17</xdr:row>
      <xdr:rowOff>108857</xdr:rowOff>
    </xdr:from>
    <xdr:to>
      <xdr:col>12</xdr:col>
      <xdr:colOff>762000</xdr:colOff>
      <xdr:row>32</xdr:row>
      <xdr:rowOff>137432</xdr:rowOff>
    </xdr:to>
    <xdr:graphicFrame macro="">
      <xdr:nvGraphicFramePr>
        <xdr:cNvPr id="15" name="Chart 14">
          <a:extLst>
            <a:ext uri="{FF2B5EF4-FFF2-40B4-BE49-F238E27FC236}">
              <a16:creationId xmlns:a16="http://schemas.microsoft.com/office/drawing/2014/main" id="{0E9D5F13-D003-4E31-8A3F-611479C7F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98403</xdr:colOff>
      <xdr:row>49</xdr:row>
      <xdr:rowOff>145119</xdr:rowOff>
    </xdr:from>
    <xdr:to>
      <xdr:col>12</xdr:col>
      <xdr:colOff>430557</xdr:colOff>
      <xdr:row>64</xdr:row>
      <xdr:rowOff>104087</xdr:rowOff>
    </xdr:to>
    <xdr:graphicFrame macro="">
      <xdr:nvGraphicFramePr>
        <xdr:cNvPr id="6" name="Chart 5">
          <a:extLst>
            <a:ext uri="{FF2B5EF4-FFF2-40B4-BE49-F238E27FC236}">
              <a16:creationId xmlns:a16="http://schemas.microsoft.com/office/drawing/2014/main" id="{121C50BD-4EF1-7E97-7BE7-9C7B3C458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429846</xdr:colOff>
      <xdr:row>67</xdr:row>
      <xdr:rowOff>44938</xdr:rowOff>
    </xdr:from>
    <xdr:to>
      <xdr:col>12</xdr:col>
      <xdr:colOff>156307</xdr:colOff>
      <xdr:row>82</xdr:row>
      <xdr:rowOff>3907</xdr:rowOff>
    </xdr:to>
    <xdr:graphicFrame macro="">
      <xdr:nvGraphicFramePr>
        <xdr:cNvPr id="7" name="Chart 6">
          <a:extLst>
            <a:ext uri="{FF2B5EF4-FFF2-40B4-BE49-F238E27FC236}">
              <a16:creationId xmlns:a16="http://schemas.microsoft.com/office/drawing/2014/main" id="{EE83EB41-D516-6DA0-E3B9-70C11E879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117230</xdr:colOff>
      <xdr:row>84</xdr:row>
      <xdr:rowOff>54708</xdr:rowOff>
    </xdr:from>
    <xdr:to>
      <xdr:col>11</xdr:col>
      <xdr:colOff>449384</xdr:colOff>
      <xdr:row>99</xdr:row>
      <xdr:rowOff>13677</xdr:rowOff>
    </xdr:to>
    <xdr:graphicFrame macro="">
      <xdr:nvGraphicFramePr>
        <xdr:cNvPr id="8" name="Chart 7">
          <a:extLst>
            <a:ext uri="{FF2B5EF4-FFF2-40B4-BE49-F238E27FC236}">
              <a16:creationId xmlns:a16="http://schemas.microsoft.com/office/drawing/2014/main" id="{3FB4A002-CE50-4220-17DB-410929638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146539</xdr:colOff>
      <xdr:row>0</xdr:row>
      <xdr:rowOff>0</xdr:rowOff>
    </xdr:from>
    <xdr:to>
      <xdr:col>11</xdr:col>
      <xdr:colOff>478693</xdr:colOff>
      <xdr:row>14</xdr:row>
      <xdr:rowOff>144585</xdr:rowOff>
    </xdr:to>
    <xdr:graphicFrame macro="">
      <xdr:nvGraphicFramePr>
        <xdr:cNvPr id="9" name="Chart 8">
          <a:extLst>
            <a:ext uri="{FF2B5EF4-FFF2-40B4-BE49-F238E27FC236}">
              <a16:creationId xmlns:a16="http://schemas.microsoft.com/office/drawing/2014/main" id="{B3E10E93-AD25-4714-6BFF-761562EFE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563509</xdr:colOff>
      <xdr:row>2</xdr:row>
      <xdr:rowOff>123221</xdr:rowOff>
    </xdr:from>
    <xdr:to>
      <xdr:col>22</xdr:col>
      <xdr:colOff>221166</xdr:colOff>
      <xdr:row>10</xdr:row>
      <xdr:rowOff>7991</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96C74AFD-E97C-60E1-B967-78671560BDB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2326018" y="483439"/>
              <a:ext cx="3315257" cy="13256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717395</xdr:colOff>
      <xdr:row>21</xdr:row>
      <xdr:rowOff>166153</xdr:rowOff>
    </xdr:from>
    <xdr:to>
      <xdr:col>26</xdr:col>
      <xdr:colOff>315950</xdr:colOff>
      <xdr:row>35</xdr:row>
      <xdr:rowOff>31177</xdr:rowOff>
    </xdr:to>
    <mc:AlternateContent xmlns:mc="http://schemas.openxmlformats.org/markup-compatibility/2006">
      <mc:Choice xmlns:a14="http://schemas.microsoft.com/office/drawing/2010/main" Requires="a14">
        <xdr:graphicFrame macro="">
          <xdr:nvGraphicFramePr>
            <xdr:cNvPr id="4" name="SalesPerson ">
              <a:extLst>
                <a:ext uri="{FF2B5EF4-FFF2-40B4-BE49-F238E27FC236}">
                  <a16:creationId xmlns:a16="http://schemas.microsoft.com/office/drawing/2014/main" id="{3D618B97-2B36-D13D-2918-5AE064D8D1B5}"/>
                </a:ext>
              </a:extLst>
            </xdr:cNvPr>
            <xdr:cNvGraphicFramePr/>
          </xdr:nvGraphicFramePr>
          <xdr:xfrm>
            <a:off x="0" y="0"/>
            <a:ext cx="0" cy="0"/>
          </xdr:xfrm>
          <a:graphic>
            <a:graphicData uri="http://schemas.microsoft.com/office/drawing/2010/slicer">
              <sle:slicer xmlns:sle="http://schemas.microsoft.com/office/drawing/2010/slicer" name="SalesPerson "/>
            </a:graphicData>
          </a:graphic>
        </xdr:graphicFrame>
      </mc:Choice>
      <mc:Fallback>
        <xdr:sp macro="" textlink="">
          <xdr:nvSpPr>
            <xdr:cNvPr id="0" name=""/>
            <xdr:cNvSpPr>
              <a:spLocks noTextEdit="1"/>
            </xdr:cNvSpPr>
          </xdr:nvSpPr>
          <xdr:spPr>
            <a:xfrm>
              <a:off x="17356704" y="3948444"/>
              <a:ext cx="1815282" cy="2386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305358</xdr:colOff>
      <xdr:row>27</xdr:row>
      <xdr:rowOff>70066</xdr:rowOff>
    </xdr:from>
    <xdr:to>
      <xdr:col>30</xdr:col>
      <xdr:colOff>294207</xdr:colOff>
      <xdr:row>40</xdr:row>
      <xdr:rowOff>120944</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21634A15-B8B8-0FE9-E1F2-554CB696EA4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770994" y="4933011"/>
              <a:ext cx="1817649" cy="2392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4832</xdr:colOff>
      <xdr:row>27</xdr:row>
      <xdr:rowOff>122664</xdr:rowOff>
    </xdr:from>
    <xdr:to>
      <xdr:col>43</xdr:col>
      <xdr:colOff>2236</xdr:colOff>
      <xdr:row>40</xdr:row>
      <xdr:rowOff>173542</xdr:rowOff>
    </xdr:to>
    <mc:AlternateContent xmlns:mc="http://schemas.openxmlformats.org/markup-compatibility/2006">
      <mc:Choice xmlns:a14="http://schemas.microsoft.com/office/drawing/2010/main" Requires="a14">
        <xdr:graphicFrame macro="">
          <xdr:nvGraphicFramePr>
            <xdr:cNvPr id="10" name="Age">
              <a:extLst>
                <a:ext uri="{FF2B5EF4-FFF2-40B4-BE49-F238E27FC236}">
                  <a16:creationId xmlns:a16="http://schemas.microsoft.com/office/drawing/2014/main" id="{5271AAC9-4128-4B6D-FD3E-8B243AFE46C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27395268" y="4985609"/>
              <a:ext cx="1826204" cy="2392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206111</xdr:colOff>
      <xdr:row>27</xdr:row>
      <xdr:rowOff>138089</xdr:rowOff>
    </xdr:from>
    <xdr:to>
      <xdr:col>39</xdr:col>
      <xdr:colOff>194961</xdr:colOff>
      <xdr:row>41</xdr:row>
      <xdr:rowOff>3113</xdr:rowOff>
    </xdr:to>
    <mc:AlternateContent xmlns:mc="http://schemas.openxmlformats.org/markup-compatibility/2006">
      <mc:Choice xmlns:a14="http://schemas.microsoft.com/office/drawing/2010/main" Requires="a14">
        <xdr:graphicFrame macro="">
          <xdr:nvGraphicFramePr>
            <xdr:cNvPr id="11" name="Product Category">
              <a:extLst>
                <a:ext uri="{FF2B5EF4-FFF2-40B4-BE49-F238E27FC236}">
                  <a16:creationId xmlns:a16="http://schemas.microsoft.com/office/drawing/2014/main" id="{B1D9E3D4-62B4-61D1-9C02-C6A1F3B96ED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5158147" y="5001034"/>
              <a:ext cx="1817650" cy="2386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537489</xdr:colOff>
      <xdr:row>28</xdr:row>
      <xdr:rowOff>97759</xdr:rowOff>
    </xdr:from>
    <xdr:to>
      <xdr:col>33</xdr:col>
      <xdr:colOff>526338</xdr:colOff>
      <xdr:row>41</xdr:row>
      <xdr:rowOff>148636</xdr:rowOff>
    </xdr:to>
    <mc:AlternateContent xmlns:mc="http://schemas.openxmlformats.org/markup-compatibility/2006">
      <mc:Choice xmlns:a14="http://schemas.microsoft.com/office/drawing/2010/main" Requires="a14">
        <xdr:graphicFrame macro="">
          <xdr:nvGraphicFramePr>
            <xdr:cNvPr id="12" name="Quantity">
              <a:extLst>
                <a:ext uri="{FF2B5EF4-FFF2-40B4-BE49-F238E27FC236}">
                  <a16:creationId xmlns:a16="http://schemas.microsoft.com/office/drawing/2014/main" id="{4407CF93-1D70-D0E5-B613-42133CEEA9B1}"/>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21831925" y="5140814"/>
              <a:ext cx="1817649" cy="2392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505691</xdr:colOff>
      <xdr:row>19</xdr:row>
      <xdr:rowOff>177580</xdr:rowOff>
    </xdr:from>
    <xdr:to>
      <xdr:col>11</xdr:col>
      <xdr:colOff>239596</xdr:colOff>
      <xdr:row>35</xdr:row>
      <xdr:rowOff>19242</xdr:rowOff>
    </xdr:to>
    <xdr:graphicFrame macro="">
      <xdr:nvGraphicFramePr>
        <xdr:cNvPr id="13" name="Chart 12">
          <a:extLst>
            <a:ext uri="{FF2B5EF4-FFF2-40B4-BE49-F238E27FC236}">
              <a16:creationId xmlns:a16="http://schemas.microsoft.com/office/drawing/2014/main" id="{BE5FCABE-10A6-4173-169E-0341280EB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Isamaliya" refreshedDate="45987.689293518517" createdVersion="8" refreshedVersion="8" minRefreshableVersion="3" recordCount="1000" xr:uid="{F1050CE2-6293-4E14-B12A-E29FEF7A432F}">
  <cacheSource type="worksheet">
    <worksheetSource name="Sales"/>
  </cacheSource>
  <cacheFields count="10">
    <cacheField name="Transaction ID" numFmtId="0">
      <sharedItems containsSemiMixedTypes="0" containsString="0" containsNumber="1" containsInteger="1" minValue="1" maxValue="1000"/>
    </cacheField>
    <cacheField name="Date" numFmtId="0">
      <sharedItems count="322">
        <s v="2023-07-02"/>
        <s v="2023-02-13"/>
        <s v="2023-06-18"/>
        <s v="2023-07-01"/>
        <s v="2023-01-01"/>
        <s v="2023-05-17"/>
        <s v="2023-09-03"/>
        <s v="2023-06-13"/>
        <s v="2023-06-09"/>
        <s v="2023-03-14"/>
        <s v="2023-03-20"/>
        <s v="2023-06-10"/>
        <s v="2023-01-13"/>
        <s v="2023-07-27"/>
        <s v="2023-03-01"/>
        <s v="2023-04-09"/>
        <s v="2023-08-08"/>
        <s v="2023-04-15"/>
        <s v="2023-05-23"/>
        <s v="2023-07-13"/>
        <s v="2023-04-26"/>
        <s v="2023-08-28"/>
        <s v="2023-12-10"/>
        <s v="2023-05-04"/>
        <s v="2023-09-04"/>
        <s v="2023-02-23"/>
        <s v="2023-09-21"/>
        <s v="2023-09-24"/>
        <s v="2023-01-22"/>
        <s v="2023-04-04"/>
        <s v="2023-01-18"/>
        <s v="2023-02-24"/>
        <s v="2023-11-09"/>
        <s v="2023-12-12"/>
        <s v="2023-12-15"/>
        <s v="2023-11-20"/>
        <s v="2023-09-07"/>
        <s v="2023-09-14"/>
        <s v="2023-08-10"/>
        <s v="2023-07-06"/>
        <s v="2023-04-14"/>
        <s v="2023-02-17"/>
        <s v="2023-09-12"/>
        <s v="2023-09-05"/>
        <s v="2023-04-07"/>
        <s v="2023-11-19"/>
        <s v="2023-02-18"/>
        <s v="2023-02-07"/>
        <s v="2023-01-09"/>
        <s v="2023-03-17"/>
        <s v="2023-09-01"/>
        <s v="2023-03-23"/>
        <s v="2023-03-16"/>
        <s v="2023-02-16"/>
        <s v="2023-04-05"/>
        <s v="2023-02-08"/>
        <s v="2023-07-14"/>
        <s v="2023-04-24"/>
        <s v="2023-04-08"/>
        <s v="2023-11-14"/>
        <s v="2023-10-04"/>
        <s v="2023-05-09"/>
        <s v="2023-10-07"/>
        <s v="2023-06-20"/>
        <s v="2023-10-10"/>
        <s v="2023-01-10"/>
        <s v="2023-10-28"/>
        <s v="2023-03-22"/>
        <s v="2023-02-21"/>
        <s v="2023-10-15"/>
        <s v="2023-09-11"/>
        <s v="2023-12-02"/>
        <s v="2023-11-26"/>
        <s v="2023-05-22"/>
        <s v="2023-08-11"/>
        <s v="2023-02-27"/>
        <s v="2023-07-20"/>
        <s v="2023-01-23"/>
        <s v="2023-03-07"/>
        <s v="2023-09-27"/>
        <s v="2023-04-10"/>
        <s v="2023-05-13"/>
        <s v="2023-03-10"/>
        <s v="2023-01-08"/>
        <s v="2023-06-24"/>
        <s v="2023-12-28"/>
        <s v="2023-08-02"/>
        <s v="2023-10-09"/>
        <s v="2023-07-07"/>
        <s v="2023-03-06"/>
        <s v="2023-06-25"/>
        <s v="2023-08-13"/>
        <s v="2023-05-05"/>
        <s v="2023-10-13"/>
        <s v="2023-09-02"/>
        <s v="2023-07-21"/>
        <s v="2023-12-19"/>
        <s v="2023-07-09"/>
        <s v="2023-09-22"/>
        <s v="2023-10-01"/>
        <s v="2023-08-05"/>
        <s v="2023-03-02"/>
        <s v="2023-07-12"/>
        <s v="2023-03-18"/>
        <s v="2023-05-12"/>
        <s v="2023-12-06"/>
        <s v="2023-06-04"/>
        <s v="2023-01-28"/>
        <s v="2023-11-07"/>
        <s v="2023-06-21"/>
        <s v="2023-02-25"/>
        <s v="2023-08-18"/>
        <s v="2023-01-16"/>
        <s v="2023-05-07"/>
        <s v="2023-01-26"/>
        <s v="2023-11-25"/>
        <s v="2023-01-15"/>
        <s v="2023-01-06"/>
        <s v="2023-12-11"/>
        <s v="2023-02-02"/>
        <s v="2023-04-19"/>
        <s v="2023-08-15"/>
        <s v="2023-09-26"/>
        <s v="2023-12-17"/>
        <s v="2023-07-04"/>
        <s v="2023-12-08"/>
        <s v="2023-09-20"/>
        <s v="2023-09-16"/>
        <s v="2023-02-22"/>
        <s v="2023-09-17"/>
        <s v="2023-03-25"/>
        <s v="2023-04-02"/>
        <s v="2023-11-16"/>
        <s v="2023-11-04"/>
        <s v="2023-12-07"/>
        <s v="2023-07-11"/>
        <s v="2023-02-04"/>
        <s v="2023-06-26"/>
        <s v="2023-11-10"/>
        <s v="2023-08-04"/>
        <s v="2023-06-22"/>
        <s v="2023-11-23"/>
        <s v="2023-05-03"/>
        <s v="2023-09-10"/>
        <s v="2023-07-19"/>
        <s v="2023-06-01"/>
        <s v="2023-10-23"/>
        <s v="2023-01-02"/>
        <s v="2023-08-24"/>
        <s v="2023-03-27"/>
        <s v="2023-10-06"/>
        <s v="2023-04-13"/>
        <s v="2023-08-07"/>
        <s v="2023-08-06"/>
        <s v="2023-11-18"/>
        <s v="2023-04-22"/>
        <s v="2023-11-08"/>
        <s v="2023-12-26"/>
        <s v="2023-12-03"/>
        <s v="2023-10-08"/>
        <s v="2023-02-15"/>
        <s v="2023-11-13"/>
        <s v="2023-10-14"/>
        <s v="2023-06-11"/>
        <s v="2023-02-09"/>
        <s v="2023-11-22"/>
        <s v="2023-05-18"/>
        <s v="2023-03-13"/>
        <s v="2023-03-12"/>
        <s v="2023-02-14"/>
        <s v="2023-05-25"/>
        <s v="2023-02-11"/>
        <s v="2023-08-12"/>
        <s v="2023-12-27"/>
        <s v="2023-10-19"/>
        <s v="2023-06-03"/>
        <s v="2023-09-08"/>
        <s v="2023-01-04"/>
        <s v="2023-08-21"/>
        <s v="2023-04-03"/>
        <s v="2023-01-17"/>
        <s v="2023-05-27"/>
        <s v="2023-12-24"/>
        <s v="2023-11-06"/>
        <s v="2023-01-05"/>
        <s v="2023-10-03"/>
        <s v="2023-10-05"/>
        <s v="2023-10-22"/>
        <s v="2023-07-17"/>
        <s v="2023-08-25"/>
        <s v="2023-04-18"/>
        <s v="2023-09-15"/>
        <s v="2023-05-06"/>
        <s v="2023-03-28"/>
        <s v="2023-12-16"/>
        <s v="2023-11-05"/>
        <s v="2023-07-23"/>
        <s v="2023-07-03"/>
        <s v="2023-12-09"/>
        <s v="2023-12-04"/>
        <s v="2023-10-27"/>
        <s v="2023-11-24"/>
        <s v="2023-06-17"/>
        <s v="2023-03-11"/>
        <s v="2023-06-27"/>
        <s v="2023-08-09"/>
        <s v="2023-05-01"/>
        <s v="2023-02-06"/>
        <s v="2023-09-28"/>
        <s v="2023-10-25"/>
        <s v="2023-03-19"/>
        <s v="2023-02-03"/>
        <s v="2023-09-18"/>
        <s v="2023-07-22"/>
        <s v="2023-11-12"/>
        <s v="2023-11-17"/>
        <s v="2023-10-26"/>
        <s v="2023-01-14"/>
        <s v="2023-07-25"/>
        <s v="2023-03-03"/>
        <s v="2023-12-01"/>
        <s v="2023-12-20"/>
        <s v="2023-05-02"/>
        <s v="2023-01-20"/>
        <s v="2023-01-07"/>
        <s v="2023-08-26"/>
        <s v="2023-04-06"/>
        <s v="2023-08-17"/>
        <s v="2023-11-01"/>
        <s v="2023-10-20"/>
        <s v="2023-05-20"/>
        <s v="2023-09-23"/>
        <s v="2023-11-03"/>
        <s v="2023-12-18"/>
        <s v="2023-04-28"/>
        <s v="2023-08-03"/>
        <s v="2023-10-12"/>
        <s v="2023-06-02"/>
        <s v="2023-09-06"/>
        <s v="2023-03-08"/>
        <s v="2023-10-18"/>
        <s v="2023-05-16"/>
        <s v="2023-03-09"/>
        <s v="2023-07-18"/>
        <s v="2023-06-19"/>
        <s v="2023-12-22"/>
        <s v="2023-08-22"/>
        <s v="2023-11-02"/>
        <s v="2023-08-16"/>
        <s v="2023-07-15"/>
        <s v="2023-06-07"/>
        <s v="2023-10-21"/>
        <s v="2023-08-27"/>
        <s v="2023-04-16"/>
        <s v="2023-04-25"/>
        <s v="2023-12-05"/>
        <s v="2023-06-08"/>
        <s v="2023-02-20"/>
        <s v="2023-11-28"/>
        <s v="2023-11-21"/>
        <s v="2023-01-03"/>
        <s v="2023-04-23"/>
        <s v="2023-06-14"/>
        <s v="2023-06-05"/>
        <s v="2023-08-20"/>
        <s v="2023-04-12"/>
        <s v="2023-07-16"/>
        <s v="2023-10-16"/>
        <s v="2023-12-13"/>
        <s v="2023-01-24"/>
        <s v="2023-12-21"/>
        <s v="2023-06-12"/>
        <s v="2023-06-28"/>
        <s v="2023-07-10"/>
        <s v="2023-01-25"/>
        <s v="2023-04-01"/>
        <s v="2023-11-27"/>
        <s v="2023-04-27"/>
        <s v="2023-06-16"/>
        <s v="2023-05-15"/>
        <s v="2023-03-15"/>
        <s v="2023-08-19"/>
        <s v="2023-07-08"/>
        <s v="2023-08-23"/>
        <s v="2023-11-11"/>
        <s v="2023-02-01"/>
        <s v="2023-10-17"/>
        <s v="2023-02-26"/>
        <s v="2023-06-06"/>
        <s v="2023-10-24"/>
        <s v="2023-01-11"/>
        <s v="2023-04-11"/>
        <s v="2023-01-12"/>
        <s v="2023-07-05"/>
        <s v="2023-01-27"/>
        <s v="2023-12-14"/>
        <s v="2023-04-20"/>
        <s v="2023-03-21"/>
        <s v="2023-02-10"/>
        <s v="2023-07-26"/>
        <s v="2023-02-12"/>
        <s v="2023-06-15"/>
        <s v="2023-05-28"/>
        <s v="2023-03-04"/>
        <s v="2023-09-25"/>
        <s v="2023-05-14"/>
        <s v="2023-06-23"/>
        <s v="2023-12-23"/>
        <s v="2023-10-02"/>
        <s v="2023-07-24"/>
        <s v="2023-09-09"/>
        <s v="2023-05-24"/>
        <s v="2023-02-28"/>
        <s v="2023-03-05"/>
        <s v="2023-09-13"/>
        <s v="2023-01-19"/>
        <s v="2023-08-01"/>
        <s v="2023-03-24"/>
        <s v="2023-05-10"/>
        <s v="2023-05-21"/>
        <s v="2023-05-26"/>
        <s v="2023-05-11"/>
      </sharedItems>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SalesPerson " numFmtId="0">
      <sharedItems count="4">
        <s v="Charlie"/>
        <s v="Diana"/>
        <s v="Bob"/>
        <s v="Alice"/>
      </sharedItems>
    </cacheField>
    <cacheField name="Gender" numFmtId="0">
      <sharedItems count="2">
        <s v="Male"/>
        <s v="Female"/>
      </sharedItems>
    </cacheField>
    <cacheField name="Age" numFmtId="0">
      <sharedItems containsSemiMixedTypes="0" containsString="0" containsNumber="1" containsInteger="1" minValue="18" maxValue="60" count="43">
        <n v="26"/>
        <n v="41"/>
        <n v="40"/>
        <n v="58"/>
        <n v="29"/>
        <n v="19"/>
        <n v="39"/>
        <n v="43"/>
        <n v="31"/>
        <n v="22"/>
        <n v="34"/>
        <n v="35"/>
        <n v="36"/>
        <n v="23"/>
        <n v="54"/>
        <n v="24"/>
        <n v="30"/>
        <n v="47"/>
        <n v="21"/>
        <n v="44"/>
        <n v="60"/>
        <n v="37"/>
        <n v="33"/>
        <n v="18"/>
        <n v="50"/>
        <n v="27"/>
        <n v="55"/>
        <n v="45"/>
        <n v="56"/>
        <n v="49"/>
        <n v="42"/>
        <n v="38"/>
        <n v="52"/>
        <n v="48"/>
        <n v="25"/>
        <n v="53"/>
        <n v="32"/>
        <n v="20"/>
        <n v="28"/>
        <n v="57"/>
        <n v="59"/>
        <n v="51"/>
        <n v="46"/>
      </sharedItems>
    </cacheField>
    <cacheField name="Product Category" numFmtId="0">
      <sharedItems count="5">
        <s v="Beauty"/>
        <s v="Sports"/>
        <s v="Clothing"/>
        <s v="Grocery"/>
        <s v="Electronics"/>
      </sharedItems>
    </cacheField>
    <cacheField name="Quantity" numFmtId="0">
      <sharedItems containsSemiMixedTypes="0" containsString="0" containsNumber="1" containsInteger="1" minValue="1" maxValue="5" count="5">
        <n v="3"/>
        <n v="4"/>
        <n v="2"/>
        <n v="1"/>
        <n v="5"/>
      </sharedItems>
    </cacheField>
    <cacheField name="Price per Unit" numFmtId="0">
      <sharedItems containsSemiMixedTypes="0" containsString="0" containsNumber="1" containsInteger="1" minValue="20" maxValue="500"/>
    </cacheField>
    <cacheField name="Total Amount" numFmtId="0">
      <sharedItems containsSemiMixedTypes="0" containsString="0" containsNumber="1" containsInteger="1" minValue="20" maxValue="2495"/>
    </cacheField>
  </cacheFields>
  <extLst>
    <ext xmlns:x14="http://schemas.microsoft.com/office/spreadsheetml/2009/9/main" uri="{725AE2AE-9491-48be-B2B4-4EB974FC3084}">
      <x14:pivotCacheDefinition pivotCacheId="12778749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Isamaliya" refreshedDate="45987.730339236114" createdVersion="8" refreshedVersion="8" minRefreshableVersion="3" recordCount="1000" xr:uid="{601A401B-E5C1-481C-82E6-9E4CA901CF9D}">
  <cacheSource type="worksheet">
    <worksheetSource name="sal"/>
  </cacheSource>
  <cacheFields count="13">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5-09-27T00:00:00" count="1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sharedItems>
      <fieldGroup par="12"/>
    </cacheField>
    <cacheField name="Customer ID" numFmtId="0">
      <sharedItems/>
    </cacheField>
    <cacheField name="SalesPerson " numFmtId="0">
      <sharedItems count="4">
        <s v="Charlie"/>
        <s v="Diana"/>
        <s v="Bob"/>
        <s v="Alice"/>
      </sharedItems>
    </cacheField>
    <cacheField name="Gender" numFmtId="0">
      <sharedItems count="2">
        <s v="Male"/>
        <s v="Female"/>
      </sharedItems>
    </cacheField>
    <cacheField name="Age" numFmtId="0">
      <sharedItems containsSemiMixedTypes="0" containsString="0" containsNumber="1" containsInteger="1" minValue="18" maxValue="60" count="43">
        <n v="26"/>
        <n v="41"/>
        <n v="40"/>
        <n v="58"/>
        <n v="29"/>
        <n v="19"/>
        <n v="39"/>
        <n v="43"/>
        <n v="31"/>
        <n v="22"/>
        <n v="34"/>
        <n v="35"/>
        <n v="36"/>
        <n v="23"/>
        <n v="54"/>
        <n v="24"/>
        <n v="30"/>
        <n v="47"/>
        <n v="21"/>
        <n v="44"/>
        <n v="60"/>
        <n v="37"/>
        <n v="33"/>
        <n v="18"/>
        <n v="50"/>
        <n v="27"/>
        <n v="55"/>
        <n v="45"/>
        <n v="56"/>
        <n v="49"/>
        <n v="42"/>
        <n v="38"/>
        <n v="52"/>
        <n v="48"/>
        <n v="25"/>
        <n v="53"/>
        <n v="32"/>
        <n v="20"/>
        <n v="28"/>
        <n v="57"/>
        <n v="59"/>
        <n v="51"/>
        <n v="46"/>
      </sharedItems>
    </cacheField>
    <cacheField name="Product Category" numFmtId="0">
      <sharedItems count="5">
        <s v="Beauty"/>
        <s v="Sports"/>
        <s v="Clothing"/>
        <s v="Grocery"/>
        <s v="Electronics"/>
      </sharedItems>
    </cacheField>
    <cacheField name="Quantity" numFmtId="0">
      <sharedItems containsSemiMixedTypes="0" containsString="0" containsNumber="1" containsInteger="1" minValue="1" maxValue="5" count="5">
        <n v="3"/>
        <n v="4"/>
        <n v="2"/>
        <n v="1"/>
        <n v="5"/>
      </sharedItems>
    </cacheField>
    <cacheField name="Price per Unit" numFmtId="0">
      <sharedItems containsSemiMixedTypes="0" containsString="0" containsNumber="1" containsInteger="1" minValue="20" maxValue="500"/>
    </cacheField>
    <cacheField name="Total Amount" numFmtId="0">
      <sharedItems containsSemiMixedTypes="0" containsString="0" containsNumber="1" containsInteger="1" minValue="20" maxValue="2495"/>
    </cacheField>
    <cacheField name="Months (Date)" numFmtId="0" databaseField="0">
      <fieldGroup base="1">
        <rangePr groupBy="months" startDate="2023-01-01T00:00:00" endDate="2025-09-27T00:00:00"/>
        <groupItems count="14">
          <s v="&lt;01-01-2023"/>
          <s v="Jan"/>
          <s v="Feb"/>
          <s v="Mar"/>
          <s v="Apr"/>
          <s v="May"/>
          <s v="Jun"/>
          <s v="Jul"/>
          <s v="Aug"/>
          <s v="Sep"/>
          <s v="Oct"/>
          <s v="Nov"/>
          <s v="Dec"/>
          <s v="&gt;27-09-2025"/>
        </groupItems>
      </fieldGroup>
    </cacheField>
    <cacheField name="Quarters (Date)" numFmtId="0" databaseField="0">
      <fieldGroup base="1">
        <rangePr groupBy="quarters" startDate="2023-01-01T00:00:00" endDate="2025-09-27T00:00:00"/>
        <groupItems count="6">
          <s v="&lt;01-01-2023"/>
          <s v="Qtr1"/>
          <s v="Qtr2"/>
          <s v="Qtr3"/>
          <s v="Qtr4"/>
          <s v="&gt;27-09-2025"/>
        </groupItems>
      </fieldGroup>
    </cacheField>
    <cacheField name="Years (Date)" numFmtId="0" databaseField="0">
      <fieldGroup base="1">
        <rangePr groupBy="years" startDate="2023-01-01T00:00:00" endDate="2025-09-27T00:00:00"/>
        <groupItems count="5">
          <s v="&lt;01-01-2023"/>
          <s v="2023"/>
          <s v="2024"/>
          <s v="2025"/>
          <s v="&gt;27-09-2025"/>
        </groupItems>
      </fieldGroup>
    </cacheField>
  </cacheFields>
  <extLst>
    <ext xmlns:x14="http://schemas.microsoft.com/office/spreadsheetml/2009/9/main" uri="{725AE2AE-9491-48be-B2B4-4EB974FC3084}">
      <x14:pivotCacheDefinition pivotCacheId="363775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x v="0"/>
    <n v="318"/>
    <n v="954"/>
  </r>
  <r>
    <n v="2"/>
    <x v="1"/>
    <x v="1"/>
    <x v="1"/>
    <x v="0"/>
    <x v="1"/>
    <x v="1"/>
    <x v="0"/>
    <n v="433"/>
    <n v="1299"/>
  </r>
  <r>
    <n v="3"/>
    <x v="2"/>
    <x v="2"/>
    <x v="0"/>
    <x v="1"/>
    <x v="2"/>
    <x v="2"/>
    <x v="1"/>
    <n v="424"/>
    <n v="1696"/>
  </r>
  <r>
    <n v="4"/>
    <x v="3"/>
    <x v="3"/>
    <x v="1"/>
    <x v="0"/>
    <x v="3"/>
    <x v="0"/>
    <x v="2"/>
    <n v="106"/>
    <n v="212"/>
  </r>
  <r>
    <n v="5"/>
    <x v="4"/>
    <x v="4"/>
    <x v="1"/>
    <x v="0"/>
    <x v="4"/>
    <x v="3"/>
    <x v="3"/>
    <n v="300"/>
    <n v="300"/>
  </r>
  <r>
    <n v="6"/>
    <x v="5"/>
    <x v="5"/>
    <x v="0"/>
    <x v="0"/>
    <x v="5"/>
    <x v="2"/>
    <x v="1"/>
    <n v="164"/>
    <n v="656"/>
  </r>
  <r>
    <n v="7"/>
    <x v="6"/>
    <x v="6"/>
    <x v="2"/>
    <x v="0"/>
    <x v="6"/>
    <x v="3"/>
    <x v="0"/>
    <n v="107"/>
    <n v="321"/>
  </r>
  <r>
    <n v="8"/>
    <x v="7"/>
    <x v="7"/>
    <x v="1"/>
    <x v="1"/>
    <x v="4"/>
    <x v="4"/>
    <x v="4"/>
    <n v="494"/>
    <n v="2470"/>
  </r>
  <r>
    <n v="9"/>
    <x v="8"/>
    <x v="8"/>
    <x v="0"/>
    <x v="0"/>
    <x v="7"/>
    <x v="4"/>
    <x v="2"/>
    <n v="143"/>
    <n v="286"/>
  </r>
  <r>
    <n v="10"/>
    <x v="9"/>
    <x v="9"/>
    <x v="3"/>
    <x v="0"/>
    <x v="8"/>
    <x v="1"/>
    <x v="3"/>
    <n v="295"/>
    <n v="295"/>
  </r>
  <r>
    <n v="11"/>
    <x v="10"/>
    <x v="10"/>
    <x v="0"/>
    <x v="0"/>
    <x v="9"/>
    <x v="0"/>
    <x v="1"/>
    <n v="292"/>
    <n v="1168"/>
  </r>
  <r>
    <n v="12"/>
    <x v="0"/>
    <x v="11"/>
    <x v="3"/>
    <x v="1"/>
    <x v="0"/>
    <x v="2"/>
    <x v="2"/>
    <n v="443"/>
    <n v="886"/>
  </r>
  <r>
    <n v="13"/>
    <x v="11"/>
    <x v="12"/>
    <x v="1"/>
    <x v="0"/>
    <x v="10"/>
    <x v="0"/>
    <x v="1"/>
    <n v="411"/>
    <n v="1644"/>
  </r>
  <r>
    <n v="14"/>
    <x v="12"/>
    <x v="13"/>
    <x v="0"/>
    <x v="1"/>
    <x v="2"/>
    <x v="3"/>
    <x v="3"/>
    <n v="274"/>
    <n v="274"/>
  </r>
  <r>
    <n v="15"/>
    <x v="13"/>
    <x v="14"/>
    <x v="0"/>
    <x v="0"/>
    <x v="11"/>
    <x v="4"/>
    <x v="2"/>
    <n v="287"/>
    <n v="574"/>
  </r>
  <r>
    <n v="16"/>
    <x v="14"/>
    <x v="15"/>
    <x v="3"/>
    <x v="0"/>
    <x v="12"/>
    <x v="4"/>
    <x v="4"/>
    <n v="205"/>
    <n v="1025"/>
  </r>
  <r>
    <n v="17"/>
    <x v="15"/>
    <x v="16"/>
    <x v="0"/>
    <x v="0"/>
    <x v="4"/>
    <x v="1"/>
    <x v="1"/>
    <n v="278"/>
    <n v="1112"/>
  </r>
  <r>
    <n v="18"/>
    <x v="16"/>
    <x v="17"/>
    <x v="0"/>
    <x v="0"/>
    <x v="8"/>
    <x v="4"/>
    <x v="0"/>
    <n v="304"/>
    <n v="912"/>
  </r>
  <r>
    <n v="19"/>
    <x v="17"/>
    <x v="18"/>
    <x v="1"/>
    <x v="1"/>
    <x v="0"/>
    <x v="3"/>
    <x v="4"/>
    <n v="44"/>
    <n v="220"/>
  </r>
  <r>
    <n v="20"/>
    <x v="18"/>
    <x v="19"/>
    <x v="0"/>
    <x v="1"/>
    <x v="13"/>
    <x v="1"/>
    <x v="0"/>
    <n v="412"/>
    <n v="1236"/>
  </r>
  <r>
    <n v="21"/>
    <x v="19"/>
    <x v="20"/>
    <x v="2"/>
    <x v="1"/>
    <x v="1"/>
    <x v="0"/>
    <x v="1"/>
    <n v="103"/>
    <n v="412"/>
  </r>
  <r>
    <n v="22"/>
    <x v="20"/>
    <x v="21"/>
    <x v="3"/>
    <x v="1"/>
    <x v="14"/>
    <x v="2"/>
    <x v="2"/>
    <n v="55"/>
    <n v="110"/>
  </r>
  <r>
    <n v="23"/>
    <x v="21"/>
    <x v="22"/>
    <x v="0"/>
    <x v="1"/>
    <x v="15"/>
    <x v="0"/>
    <x v="1"/>
    <n v="298"/>
    <n v="1192"/>
  </r>
  <r>
    <n v="24"/>
    <x v="22"/>
    <x v="23"/>
    <x v="3"/>
    <x v="1"/>
    <x v="16"/>
    <x v="0"/>
    <x v="3"/>
    <n v="232"/>
    <n v="232"/>
  </r>
  <r>
    <n v="25"/>
    <x v="23"/>
    <x v="24"/>
    <x v="3"/>
    <x v="0"/>
    <x v="12"/>
    <x v="4"/>
    <x v="1"/>
    <n v="400"/>
    <n v="1600"/>
  </r>
  <r>
    <n v="26"/>
    <x v="24"/>
    <x v="25"/>
    <x v="3"/>
    <x v="1"/>
    <x v="17"/>
    <x v="4"/>
    <x v="0"/>
    <n v="292"/>
    <n v="876"/>
  </r>
  <r>
    <n v="27"/>
    <x v="25"/>
    <x v="26"/>
    <x v="0"/>
    <x v="1"/>
    <x v="18"/>
    <x v="0"/>
    <x v="0"/>
    <n v="237"/>
    <n v="711"/>
  </r>
  <r>
    <n v="28"/>
    <x v="21"/>
    <x v="27"/>
    <x v="0"/>
    <x v="0"/>
    <x v="14"/>
    <x v="1"/>
    <x v="3"/>
    <n v="208"/>
    <n v="208"/>
  </r>
  <r>
    <n v="29"/>
    <x v="26"/>
    <x v="28"/>
    <x v="3"/>
    <x v="0"/>
    <x v="18"/>
    <x v="3"/>
    <x v="4"/>
    <n v="464"/>
    <n v="2320"/>
  </r>
  <r>
    <n v="30"/>
    <x v="27"/>
    <x v="29"/>
    <x v="2"/>
    <x v="1"/>
    <x v="11"/>
    <x v="4"/>
    <x v="3"/>
    <n v="95"/>
    <n v="95"/>
  </r>
  <r>
    <n v="31"/>
    <x v="28"/>
    <x v="30"/>
    <x v="3"/>
    <x v="1"/>
    <x v="19"/>
    <x v="2"/>
    <x v="0"/>
    <n v="316"/>
    <n v="948"/>
  </r>
  <r>
    <n v="32"/>
    <x v="29"/>
    <x v="31"/>
    <x v="2"/>
    <x v="1"/>
    <x v="15"/>
    <x v="1"/>
    <x v="0"/>
    <n v="102"/>
    <n v="306"/>
  </r>
  <r>
    <n v="33"/>
    <x v="30"/>
    <x v="32"/>
    <x v="3"/>
    <x v="1"/>
    <x v="16"/>
    <x v="4"/>
    <x v="0"/>
    <n v="327"/>
    <n v="981"/>
  </r>
  <r>
    <n v="34"/>
    <x v="31"/>
    <x v="33"/>
    <x v="1"/>
    <x v="1"/>
    <x v="10"/>
    <x v="1"/>
    <x v="1"/>
    <n v="267"/>
    <n v="1068"/>
  </r>
  <r>
    <n v="35"/>
    <x v="32"/>
    <x v="34"/>
    <x v="3"/>
    <x v="1"/>
    <x v="20"/>
    <x v="2"/>
    <x v="2"/>
    <n v="380"/>
    <n v="760"/>
  </r>
  <r>
    <n v="36"/>
    <x v="33"/>
    <x v="35"/>
    <x v="3"/>
    <x v="1"/>
    <x v="8"/>
    <x v="2"/>
    <x v="1"/>
    <n v="347"/>
    <n v="1388"/>
  </r>
  <r>
    <n v="37"/>
    <x v="34"/>
    <x v="36"/>
    <x v="0"/>
    <x v="0"/>
    <x v="21"/>
    <x v="3"/>
    <x v="3"/>
    <n v="196"/>
    <n v="196"/>
  </r>
  <r>
    <n v="38"/>
    <x v="35"/>
    <x v="37"/>
    <x v="2"/>
    <x v="1"/>
    <x v="15"/>
    <x v="3"/>
    <x v="2"/>
    <n v="276"/>
    <n v="552"/>
  </r>
  <r>
    <n v="39"/>
    <x v="36"/>
    <x v="38"/>
    <x v="1"/>
    <x v="1"/>
    <x v="22"/>
    <x v="4"/>
    <x v="0"/>
    <n v="481"/>
    <n v="1443"/>
  </r>
  <r>
    <n v="40"/>
    <x v="19"/>
    <x v="39"/>
    <x v="2"/>
    <x v="0"/>
    <x v="23"/>
    <x v="2"/>
    <x v="4"/>
    <n v="330"/>
    <n v="1650"/>
  </r>
  <r>
    <n v="41"/>
    <x v="37"/>
    <x v="40"/>
    <x v="1"/>
    <x v="0"/>
    <x v="1"/>
    <x v="1"/>
    <x v="4"/>
    <n v="341"/>
    <n v="1705"/>
  </r>
  <r>
    <n v="42"/>
    <x v="38"/>
    <x v="41"/>
    <x v="3"/>
    <x v="1"/>
    <x v="19"/>
    <x v="4"/>
    <x v="1"/>
    <n v="27"/>
    <n v="108"/>
  </r>
  <r>
    <n v="43"/>
    <x v="39"/>
    <x v="42"/>
    <x v="0"/>
    <x v="0"/>
    <x v="15"/>
    <x v="0"/>
    <x v="3"/>
    <n v="472"/>
    <n v="472"/>
  </r>
  <r>
    <n v="44"/>
    <x v="40"/>
    <x v="43"/>
    <x v="0"/>
    <x v="1"/>
    <x v="24"/>
    <x v="1"/>
    <x v="0"/>
    <n v="207"/>
    <n v="621"/>
  </r>
  <r>
    <n v="45"/>
    <x v="41"/>
    <x v="44"/>
    <x v="2"/>
    <x v="0"/>
    <x v="2"/>
    <x v="2"/>
    <x v="1"/>
    <n v="148"/>
    <n v="592"/>
  </r>
  <r>
    <n v="46"/>
    <x v="42"/>
    <x v="45"/>
    <x v="0"/>
    <x v="0"/>
    <x v="12"/>
    <x v="3"/>
    <x v="1"/>
    <n v="429"/>
    <n v="1716"/>
  </r>
  <r>
    <n v="47"/>
    <x v="43"/>
    <x v="46"/>
    <x v="2"/>
    <x v="0"/>
    <x v="9"/>
    <x v="4"/>
    <x v="1"/>
    <n v="121"/>
    <n v="484"/>
  </r>
  <r>
    <n v="48"/>
    <x v="44"/>
    <x v="47"/>
    <x v="2"/>
    <x v="1"/>
    <x v="2"/>
    <x v="0"/>
    <x v="0"/>
    <n v="143"/>
    <n v="429"/>
  </r>
  <r>
    <n v="49"/>
    <x v="14"/>
    <x v="48"/>
    <x v="1"/>
    <x v="0"/>
    <x v="25"/>
    <x v="1"/>
    <x v="2"/>
    <n v="282"/>
    <n v="564"/>
  </r>
  <r>
    <n v="50"/>
    <x v="45"/>
    <x v="49"/>
    <x v="2"/>
    <x v="1"/>
    <x v="23"/>
    <x v="0"/>
    <x v="0"/>
    <n v="327"/>
    <n v="981"/>
  </r>
  <r>
    <n v="51"/>
    <x v="46"/>
    <x v="50"/>
    <x v="1"/>
    <x v="0"/>
    <x v="10"/>
    <x v="0"/>
    <x v="3"/>
    <n v="351"/>
    <n v="351"/>
  </r>
  <r>
    <n v="52"/>
    <x v="47"/>
    <x v="51"/>
    <x v="0"/>
    <x v="1"/>
    <x v="20"/>
    <x v="3"/>
    <x v="0"/>
    <n v="35"/>
    <n v="105"/>
  </r>
  <r>
    <n v="53"/>
    <x v="48"/>
    <x v="52"/>
    <x v="2"/>
    <x v="1"/>
    <x v="5"/>
    <x v="1"/>
    <x v="1"/>
    <n v="269"/>
    <n v="1076"/>
  </r>
  <r>
    <n v="54"/>
    <x v="49"/>
    <x v="53"/>
    <x v="2"/>
    <x v="0"/>
    <x v="26"/>
    <x v="3"/>
    <x v="2"/>
    <n v="85"/>
    <n v="170"/>
  </r>
  <r>
    <n v="55"/>
    <x v="50"/>
    <x v="54"/>
    <x v="3"/>
    <x v="0"/>
    <x v="27"/>
    <x v="1"/>
    <x v="0"/>
    <n v="359"/>
    <n v="1077"/>
  </r>
  <r>
    <n v="56"/>
    <x v="51"/>
    <x v="55"/>
    <x v="2"/>
    <x v="1"/>
    <x v="13"/>
    <x v="0"/>
    <x v="3"/>
    <n v="459"/>
    <n v="459"/>
  </r>
  <r>
    <n v="57"/>
    <x v="52"/>
    <x v="56"/>
    <x v="2"/>
    <x v="0"/>
    <x v="27"/>
    <x v="4"/>
    <x v="1"/>
    <n v="257"/>
    <n v="1028"/>
  </r>
  <r>
    <n v="58"/>
    <x v="53"/>
    <x v="57"/>
    <x v="3"/>
    <x v="0"/>
    <x v="2"/>
    <x v="4"/>
    <x v="0"/>
    <n v="258"/>
    <n v="774"/>
  </r>
  <r>
    <n v="59"/>
    <x v="54"/>
    <x v="58"/>
    <x v="3"/>
    <x v="1"/>
    <x v="13"/>
    <x v="1"/>
    <x v="1"/>
    <n v="416"/>
    <n v="1664"/>
  </r>
  <r>
    <n v="60"/>
    <x v="55"/>
    <x v="59"/>
    <x v="0"/>
    <x v="1"/>
    <x v="4"/>
    <x v="0"/>
    <x v="4"/>
    <n v="404"/>
    <n v="2020"/>
  </r>
  <r>
    <n v="61"/>
    <x v="56"/>
    <x v="60"/>
    <x v="2"/>
    <x v="1"/>
    <x v="28"/>
    <x v="1"/>
    <x v="1"/>
    <n v="242"/>
    <n v="968"/>
  </r>
  <r>
    <n v="62"/>
    <x v="57"/>
    <x v="61"/>
    <x v="0"/>
    <x v="1"/>
    <x v="18"/>
    <x v="4"/>
    <x v="4"/>
    <n v="221"/>
    <n v="1105"/>
  </r>
  <r>
    <n v="63"/>
    <x v="58"/>
    <x v="62"/>
    <x v="0"/>
    <x v="0"/>
    <x v="17"/>
    <x v="1"/>
    <x v="2"/>
    <n v="318"/>
    <n v="636"/>
  </r>
  <r>
    <n v="64"/>
    <x v="59"/>
    <x v="63"/>
    <x v="3"/>
    <x v="0"/>
    <x v="16"/>
    <x v="0"/>
    <x v="3"/>
    <n v="33"/>
    <n v="33"/>
  </r>
  <r>
    <n v="65"/>
    <x v="60"/>
    <x v="64"/>
    <x v="1"/>
    <x v="0"/>
    <x v="21"/>
    <x v="4"/>
    <x v="2"/>
    <n v="321"/>
    <n v="642"/>
  </r>
  <r>
    <n v="66"/>
    <x v="46"/>
    <x v="65"/>
    <x v="0"/>
    <x v="0"/>
    <x v="29"/>
    <x v="3"/>
    <x v="2"/>
    <n v="340"/>
    <n v="680"/>
  </r>
  <r>
    <n v="67"/>
    <x v="61"/>
    <x v="66"/>
    <x v="1"/>
    <x v="1"/>
    <x v="30"/>
    <x v="1"/>
    <x v="1"/>
    <n v="266"/>
    <n v="1064"/>
  </r>
  <r>
    <n v="68"/>
    <x v="62"/>
    <x v="67"/>
    <x v="2"/>
    <x v="1"/>
    <x v="25"/>
    <x v="2"/>
    <x v="3"/>
    <n v="246"/>
    <n v="246"/>
  </r>
  <r>
    <n v="69"/>
    <x v="63"/>
    <x v="68"/>
    <x v="3"/>
    <x v="0"/>
    <x v="28"/>
    <x v="4"/>
    <x v="2"/>
    <n v="235"/>
    <n v="470"/>
  </r>
  <r>
    <n v="70"/>
    <x v="41"/>
    <x v="69"/>
    <x v="2"/>
    <x v="0"/>
    <x v="31"/>
    <x v="2"/>
    <x v="3"/>
    <n v="45"/>
    <n v="45"/>
  </r>
  <r>
    <n v="71"/>
    <x v="64"/>
    <x v="70"/>
    <x v="2"/>
    <x v="0"/>
    <x v="8"/>
    <x v="2"/>
    <x v="4"/>
    <n v="26"/>
    <n v="130"/>
  </r>
  <r>
    <n v="72"/>
    <x v="65"/>
    <x v="71"/>
    <x v="3"/>
    <x v="1"/>
    <x v="11"/>
    <x v="0"/>
    <x v="0"/>
    <n v="483"/>
    <n v="1449"/>
  </r>
  <r>
    <n v="73"/>
    <x v="66"/>
    <x v="72"/>
    <x v="2"/>
    <x v="0"/>
    <x v="9"/>
    <x v="4"/>
    <x v="3"/>
    <n v="359"/>
    <n v="359"/>
  </r>
  <r>
    <n v="74"/>
    <x v="67"/>
    <x v="73"/>
    <x v="3"/>
    <x v="0"/>
    <x v="11"/>
    <x v="2"/>
    <x v="1"/>
    <n v="154"/>
    <n v="616"/>
  </r>
  <r>
    <n v="75"/>
    <x v="18"/>
    <x v="74"/>
    <x v="1"/>
    <x v="0"/>
    <x v="3"/>
    <x v="2"/>
    <x v="2"/>
    <n v="49"/>
    <n v="98"/>
  </r>
  <r>
    <n v="76"/>
    <x v="68"/>
    <x v="75"/>
    <x v="2"/>
    <x v="1"/>
    <x v="16"/>
    <x v="2"/>
    <x v="1"/>
    <n v="25"/>
    <n v="100"/>
  </r>
  <r>
    <n v="77"/>
    <x v="69"/>
    <x v="76"/>
    <x v="3"/>
    <x v="1"/>
    <x v="32"/>
    <x v="2"/>
    <x v="4"/>
    <n v="301"/>
    <n v="1505"/>
  </r>
  <r>
    <n v="78"/>
    <x v="42"/>
    <x v="77"/>
    <x v="0"/>
    <x v="1"/>
    <x v="22"/>
    <x v="2"/>
    <x v="2"/>
    <n v="437"/>
    <n v="874"/>
  </r>
  <r>
    <n v="79"/>
    <x v="70"/>
    <x v="78"/>
    <x v="2"/>
    <x v="1"/>
    <x v="15"/>
    <x v="1"/>
    <x v="0"/>
    <n v="453"/>
    <n v="1359"/>
  </r>
  <r>
    <n v="80"/>
    <x v="71"/>
    <x v="79"/>
    <x v="1"/>
    <x v="0"/>
    <x v="33"/>
    <x v="3"/>
    <x v="2"/>
    <n v="451"/>
    <n v="902"/>
  </r>
  <r>
    <n v="81"/>
    <x v="72"/>
    <x v="80"/>
    <x v="3"/>
    <x v="1"/>
    <x v="18"/>
    <x v="1"/>
    <x v="0"/>
    <n v="418"/>
    <n v="1254"/>
  </r>
  <r>
    <n v="82"/>
    <x v="73"/>
    <x v="81"/>
    <x v="2"/>
    <x v="1"/>
    <x v="22"/>
    <x v="4"/>
    <x v="4"/>
    <n v="107"/>
    <n v="535"/>
  </r>
  <r>
    <n v="83"/>
    <x v="72"/>
    <x v="82"/>
    <x v="2"/>
    <x v="1"/>
    <x v="24"/>
    <x v="3"/>
    <x v="4"/>
    <n v="209"/>
    <n v="1045"/>
  </r>
  <r>
    <n v="84"/>
    <x v="17"/>
    <x v="83"/>
    <x v="2"/>
    <x v="0"/>
    <x v="34"/>
    <x v="1"/>
    <x v="0"/>
    <n v="118"/>
    <n v="354"/>
  </r>
  <r>
    <n v="85"/>
    <x v="69"/>
    <x v="84"/>
    <x v="1"/>
    <x v="0"/>
    <x v="9"/>
    <x v="3"/>
    <x v="0"/>
    <n v="38"/>
    <n v="114"/>
  </r>
  <r>
    <n v="86"/>
    <x v="74"/>
    <x v="85"/>
    <x v="3"/>
    <x v="0"/>
    <x v="24"/>
    <x v="0"/>
    <x v="0"/>
    <n v="156"/>
    <n v="468"/>
  </r>
  <r>
    <n v="87"/>
    <x v="75"/>
    <x v="86"/>
    <x v="0"/>
    <x v="1"/>
    <x v="35"/>
    <x v="2"/>
    <x v="3"/>
    <n v="463"/>
    <n v="463"/>
  </r>
  <r>
    <n v="88"/>
    <x v="76"/>
    <x v="87"/>
    <x v="0"/>
    <x v="0"/>
    <x v="14"/>
    <x v="0"/>
    <x v="4"/>
    <n v="151"/>
    <n v="755"/>
  </r>
  <r>
    <n v="89"/>
    <x v="77"/>
    <x v="88"/>
    <x v="0"/>
    <x v="0"/>
    <x v="4"/>
    <x v="0"/>
    <x v="4"/>
    <n v="305"/>
    <n v="1525"/>
  </r>
  <r>
    <n v="90"/>
    <x v="78"/>
    <x v="89"/>
    <x v="3"/>
    <x v="0"/>
    <x v="12"/>
    <x v="4"/>
    <x v="3"/>
    <n v="340"/>
    <n v="340"/>
  </r>
  <r>
    <n v="91"/>
    <x v="79"/>
    <x v="90"/>
    <x v="0"/>
    <x v="1"/>
    <x v="11"/>
    <x v="2"/>
    <x v="1"/>
    <n v="324"/>
    <n v="1296"/>
  </r>
  <r>
    <n v="92"/>
    <x v="80"/>
    <x v="91"/>
    <x v="1"/>
    <x v="0"/>
    <x v="36"/>
    <x v="3"/>
    <x v="0"/>
    <n v="122"/>
    <n v="366"/>
  </r>
  <r>
    <n v="93"/>
    <x v="81"/>
    <x v="92"/>
    <x v="3"/>
    <x v="0"/>
    <x v="31"/>
    <x v="4"/>
    <x v="1"/>
    <n v="225"/>
    <n v="900"/>
  </r>
  <r>
    <n v="94"/>
    <x v="82"/>
    <x v="93"/>
    <x v="2"/>
    <x v="0"/>
    <x v="9"/>
    <x v="4"/>
    <x v="3"/>
    <n v="314"/>
    <n v="314"/>
  </r>
  <r>
    <n v="95"/>
    <x v="83"/>
    <x v="94"/>
    <x v="1"/>
    <x v="1"/>
    <x v="36"/>
    <x v="2"/>
    <x v="2"/>
    <n v="274"/>
    <n v="548"/>
  </r>
  <r>
    <n v="96"/>
    <x v="9"/>
    <x v="95"/>
    <x v="2"/>
    <x v="0"/>
    <x v="30"/>
    <x v="1"/>
    <x v="0"/>
    <n v="281"/>
    <n v="843"/>
  </r>
  <r>
    <n v="97"/>
    <x v="84"/>
    <x v="96"/>
    <x v="0"/>
    <x v="0"/>
    <x v="10"/>
    <x v="0"/>
    <x v="2"/>
    <n v="397"/>
    <n v="794"/>
  </r>
  <r>
    <n v="98"/>
    <x v="4"/>
    <x v="97"/>
    <x v="1"/>
    <x v="0"/>
    <x v="21"/>
    <x v="2"/>
    <x v="0"/>
    <n v="395"/>
    <n v="1185"/>
  </r>
  <r>
    <n v="99"/>
    <x v="85"/>
    <x v="98"/>
    <x v="3"/>
    <x v="1"/>
    <x v="34"/>
    <x v="0"/>
    <x v="2"/>
    <n v="67"/>
    <n v="134"/>
  </r>
  <r>
    <n v="100"/>
    <x v="32"/>
    <x v="99"/>
    <x v="1"/>
    <x v="1"/>
    <x v="7"/>
    <x v="0"/>
    <x v="4"/>
    <n v="482"/>
    <n v="2410"/>
  </r>
  <r>
    <n v="101"/>
    <x v="22"/>
    <x v="100"/>
    <x v="2"/>
    <x v="1"/>
    <x v="13"/>
    <x v="3"/>
    <x v="2"/>
    <n v="439"/>
    <n v="878"/>
  </r>
  <r>
    <n v="102"/>
    <x v="31"/>
    <x v="101"/>
    <x v="3"/>
    <x v="0"/>
    <x v="19"/>
    <x v="3"/>
    <x v="4"/>
    <n v="245"/>
    <n v="1225"/>
  </r>
  <r>
    <n v="103"/>
    <x v="86"/>
    <x v="102"/>
    <x v="1"/>
    <x v="0"/>
    <x v="30"/>
    <x v="1"/>
    <x v="0"/>
    <n v="303"/>
    <n v="909"/>
  </r>
  <r>
    <n v="104"/>
    <x v="24"/>
    <x v="103"/>
    <x v="1"/>
    <x v="0"/>
    <x v="12"/>
    <x v="0"/>
    <x v="1"/>
    <n v="175"/>
    <n v="700"/>
  </r>
  <r>
    <n v="105"/>
    <x v="87"/>
    <x v="104"/>
    <x v="1"/>
    <x v="1"/>
    <x v="30"/>
    <x v="4"/>
    <x v="4"/>
    <n v="406"/>
    <n v="2030"/>
  </r>
  <r>
    <n v="106"/>
    <x v="88"/>
    <x v="105"/>
    <x v="1"/>
    <x v="0"/>
    <x v="21"/>
    <x v="0"/>
    <x v="1"/>
    <n v="497"/>
    <n v="1988"/>
  </r>
  <r>
    <n v="107"/>
    <x v="89"/>
    <x v="106"/>
    <x v="3"/>
    <x v="0"/>
    <x v="5"/>
    <x v="2"/>
    <x v="0"/>
    <n v="99"/>
    <n v="297"/>
  </r>
  <r>
    <n v="108"/>
    <x v="90"/>
    <x v="107"/>
    <x v="2"/>
    <x v="0"/>
    <x v="1"/>
    <x v="0"/>
    <x v="1"/>
    <n v="186"/>
    <n v="744"/>
  </r>
  <r>
    <n v="109"/>
    <x v="91"/>
    <x v="108"/>
    <x v="1"/>
    <x v="0"/>
    <x v="24"/>
    <x v="2"/>
    <x v="3"/>
    <n v="157"/>
    <n v="157"/>
  </r>
  <r>
    <n v="110"/>
    <x v="92"/>
    <x v="109"/>
    <x v="3"/>
    <x v="1"/>
    <x v="27"/>
    <x v="4"/>
    <x v="3"/>
    <n v="440"/>
    <n v="440"/>
  </r>
  <r>
    <n v="111"/>
    <x v="93"/>
    <x v="110"/>
    <x v="2"/>
    <x v="1"/>
    <x v="9"/>
    <x v="0"/>
    <x v="3"/>
    <n v="85"/>
    <n v="85"/>
  </r>
  <r>
    <n v="112"/>
    <x v="94"/>
    <x v="111"/>
    <x v="1"/>
    <x v="1"/>
    <x v="1"/>
    <x v="0"/>
    <x v="0"/>
    <n v="295"/>
    <n v="885"/>
  </r>
  <r>
    <n v="113"/>
    <x v="95"/>
    <x v="112"/>
    <x v="2"/>
    <x v="1"/>
    <x v="34"/>
    <x v="3"/>
    <x v="2"/>
    <n v="366"/>
    <n v="732"/>
  </r>
  <r>
    <n v="114"/>
    <x v="96"/>
    <x v="113"/>
    <x v="2"/>
    <x v="1"/>
    <x v="31"/>
    <x v="4"/>
    <x v="2"/>
    <n v="419"/>
    <n v="838"/>
  </r>
  <r>
    <n v="115"/>
    <x v="97"/>
    <x v="114"/>
    <x v="3"/>
    <x v="0"/>
    <x v="8"/>
    <x v="1"/>
    <x v="1"/>
    <n v="28"/>
    <n v="112"/>
  </r>
  <r>
    <n v="116"/>
    <x v="8"/>
    <x v="115"/>
    <x v="2"/>
    <x v="1"/>
    <x v="37"/>
    <x v="3"/>
    <x v="0"/>
    <n v="268"/>
    <n v="804"/>
  </r>
  <r>
    <n v="117"/>
    <x v="98"/>
    <x v="116"/>
    <x v="3"/>
    <x v="1"/>
    <x v="23"/>
    <x v="2"/>
    <x v="1"/>
    <n v="434"/>
    <n v="1736"/>
  </r>
  <r>
    <n v="118"/>
    <x v="99"/>
    <x v="117"/>
    <x v="1"/>
    <x v="1"/>
    <x v="35"/>
    <x v="0"/>
    <x v="0"/>
    <n v="85"/>
    <n v="255"/>
  </r>
  <r>
    <n v="119"/>
    <x v="100"/>
    <x v="118"/>
    <x v="2"/>
    <x v="1"/>
    <x v="10"/>
    <x v="0"/>
    <x v="0"/>
    <n v="121"/>
    <n v="363"/>
  </r>
  <r>
    <n v="120"/>
    <x v="82"/>
    <x v="119"/>
    <x v="2"/>
    <x v="1"/>
    <x v="35"/>
    <x v="4"/>
    <x v="3"/>
    <n v="275"/>
    <n v="275"/>
  </r>
  <r>
    <n v="121"/>
    <x v="14"/>
    <x v="120"/>
    <x v="0"/>
    <x v="0"/>
    <x v="7"/>
    <x v="0"/>
    <x v="2"/>
    <n v="160"/>
    <n v="320"/>
  </r>
  <r>
    <n v="122"/>
    <x v="101"/>
    <x v="121"/>
    <x v="1"/>
    <x v="1"/>
    <x v="14"/>
    <x v="0"/>
    <x v="4"/>
    <n v="439"/>
    <n v="2195"/>
  </r>
  <r>
    <n v="123"/>
    <x v="102"/>
    <x v="122"/>
    <x v="1"/>
    <x v="0"/>
    <x v="38"/>
    <x v="4"/>
    <x v="3"/>
    <n v="243"/>
    <n v="243"/>
  </r>
  <r>
    <n v="124"/>
    <x v="103"/>
    <x v="123"/>
    <x v="0"/>
    <x v="0"/>
    <x v="10"/>
    <x v="1"/>
    <x v="3"/>
    <n v="460"/>
    <n v="460"/>
  </r>
  <r>
    <n v="125"/>
    <x v="104"/>
    <x v="124"/>
    <x v="0"/>
    <x v="0"/>
    <x v="32"/>
    <x v="1"/>
    <x v="3"/>
    <n v="418"/>
    <n v="418"/>
  </r>
  <r>
    <n v="126"/>
    <x v="105"/>
    <x v="125"/>
    <x v="3"/>
    <x v="0"/>
    <x v="32"/>
    <x v="0"/>
    <x v="1"/>
    <n v="325"/>
    <n v="1300"/>
  </r>
  <r>
    <n v="127"/>
    <x v="106"/>
    <x v="126"/>
    <x v="3"/>
    <x v="1"/>
    <x v="12"/>
    <x v="4"/>
    <x v="1"/>
    <n v="455"/>
    <n v="1820"/>
  </r>
  <r>
    <n v="128"/>
    <x v="86"/>
    <x v="127"/>
    <x v="2"/>
    <x v="0"/>
    <x v="2"/>
    <x v="2"/>
    <x v="1"/>
    <n v="152"/>
    <n v="608"/>
  </r>
  <r>
    <n v="129"/>
    <x v="107"/>
    <x v="128"/>
    <x v="2"/>
    <x v="0"/>
    <x v="7"/>
    <x v="1"/>
    <x v="3"/>
    <n v="275"/>
    <n v="275"/>
  </r>
  <r>
    <n v="130"/>
    <x v="14"/>
    <x v="129"/>
    <x v="2"/>
    <x v="0"/>
    <x v="15"/>
    <x v="4"/>
    <x v="2"/>
    <n v="258"/>
    <n v="516"/>
  </r>
  <r>
    <n v="131"/>
    <x v="47"/>
    <x v="130"/>
    <x v="2"/>
    <x v="0"/>
    <x v="7"/>
    <x v="3"/>
    <x v="0"/>
    <n v="76"/>
    <n v="228"/>
  </r>
  <r>
    <n v="132"/>
    <x v="108"/>
    <x v="131"/>
    <x v="3"/>
    <x v="0"/>
    <x v="38"/>
    <x v="3"/>
    <x v="1"/>
    <n v="119"/>
    <n v="476"/>
  </r>
  <r>
    <n v="133"/>
    <x v="109"/>
    <x v="132"/>
    <x v="1"/>
    <x v="0"/>
    <x v="23"/>
    <x v="4"/>
    <x v="1"/>
    <n v="101"/>
    <n v="404"/>
  </r>
  <r>
    <n v="134"/>
    <x v="110"/>
    <x v="133"/>
    <x v="2"/>
    <x v="1"/>
    <x v="28"/>
    <x v="1"/>
    <x v="1"/>
    <n v="58"/>
    <n v="232"/>
  </r>
  <r>
    <n v="135"/>
    <x v="111"/>
    <x v="134"/>
    <x v="1"/>
    <x v="1"/>
    <x v="5"/>
    <x v="1"/>
    <x v="0"/>
    <n v="72"/>
    <n v="216"/>
  </r>
  <r>
    <n v="136"/>
    <x v="112"/>
    <x v="135"/>
    <x v="2"/>
    <x v="1"/>
    <x v="9"/>
    <x v="0"/>
    <x v="0"/>
    <n v="22"/>
    <n v="66"/>
  </r>
  <r>
    <n v="137"/>
    <x v="67"/>
    <x v="136"/>
    <x v="0"/>
    <x v="1"/>
    <x v="39"/>
    <x v="1"/>
    <x v="2"/>
    <n v="248"/>
    <n v="496"/>
  </r>
  <r>
    <n v="138"/>
    <x v="111"/>
    <x v="137"/>
    <x v="2"/>
    <x v="1"/>
    <x v="8"/>
    <x v="2"/>
    <x v="3"/>
    <n v="311"/>
    <n v="311"/>
  </r>
  <r>
    <n v="139"/>
    <x v="19"/>
    <x v="138"/>
    <x v="2"/>
    <x v="1"/>
    <x v="23"/>
    <x v="4"/>
    <x v="4"/>
    <n v="466"/>
    <n v="2330"/>
  </r>
  <r>
    <n v="140"/>
    <x v="113"/>
    <x v="139"/>
    <x v="2"/>
    <x v="1"/>
    <x v="5"/>
    <x v="3"/>
    <x v="2"/>
    <n v="178"/>
    <n v="356"/>
  </r>
  <r>
    <n v="141"/>
    <x v="114"/>
    <x v="140"/>
    <x v="3"/>
    <x v="1"/>
    <x v="31"/>
    <x v="1"/>
    <x v="0"/>
    <n v="36"/>
    <n v="108"/>
  </r>
  <r>
    <n v="142"/>
    <x v="115"/>
    <x v="141"/>
    <x v="0"/>
    <x v="0"/>
    <x v="23"/>
    <x v="0"/>
    <x v="4"/>
    <n v="20"/>
    <n v="100"/>
  </r>
  <r>
    <n v="143"/>
    <x v="116"/>
    <x v="142"/>
    <x v="2"/>
    <x v="0"/>
    <x v="7"/>
    <x v="4"/>
    <x v="4"/>
    <n v="210"/>
    <n v="1050"/>
  </r>
  <r>
    <n v="144"/>
    <x v="25"/>
    <x v="143"/>
    <x v="2"/>
    <x v="0"/>
    <x v="3"/>
    <x v="3"/>
    <x v="1"/>
    <n v="437"/>
    <n v="1748"/>
  </r>
  <r>
    <n v="145"/>
    <x v="117"/>
    <x v="144"/>
    <x v="1"/>
    <x v="0"/>
    <x v="28"/>
    <x v="2"/>
    <x v="3"/>
    <n v="174"/>
    <n v="174"/>
  </r>
  <r>
    <n v="146"/>
    <x v="118"/>
    <x v="145"/>
    <x v="0"/>
    <x v="0"/>
    <x v="27"/>
    <x v="2"/>
    <x v="1"/>
    <n v="337"/>
    <n v="1348"/>
  </r>
  <r>
    <n v="147"/>
    <x v="119"/>
    <x v="146"/>
    <x v="2"/>
    <x v="0"/>
    <x v="32"/>
    <x v="4"/>
    <x v="1"/>
    <n v="356"/>
    <n v="1424"/>
  </r>
  <r>
    <n v="148"/>
    <x v="47"/>
    <x v="147"/>
    <x v="1"/>
    <x v="1"/>
    <x v="23"/>
    <x v="4"/>
    <x v="1"/>
    <n v="326"/>
    <n v="1304"/>
  </r>
  <r>
    <n v="149"/>
    <x v="120"/>
    <x v="148"/>
    <x v="1"/>
    <x v="0"/>
    <x v="31"/>
    <x v="0"/>
    <x v="4"/>
    <n v="343"/>
    <n v="1715"/>
  </r>
  <r>
    <n v="150"/>
    <x v="121"/>
    <x v="149"/>
    <x v="3"/>
    <x v="0"/>
    <x v="34"/>
    <x v="0"/>
    <x v="0"/>
    <n v="133"/>
    <n v="399"/>
  </r>
  <r>
    <n v="151"/>
    <x v="122"/>
    <x v="150"/>
    <x v="1"/>
    <x v="0"/>
    <x v="35"/>
    <x v="2"/>
    <x v="4"/>
    <n v="483"/>
    <n v="2415"/>
  </r>
  <r>
    <n v="152"/>
    <x v="78"/>
    <x v="151"/>
    <x v="2"/>
    <x v="1"/>
    <x v="14"/>
    <x v="1"/>
    <x v="4"/>
    <n v="454"/>
    <n v="2270"/>
  </r>
  <r>
    <n v="153"/>
    <x v="123"/>
    <x v="152"/>
    <x v="3"/>
    <x v="0"/>
    <x v="40"/>
    <x v="4"/>
    <x v="2"/>
    <n v="293"/>
    <n v="586"/>
  </r>
  <r>
    <n v="154"/>
    <x v="124"/>
    <x v="153"/>
    <x v="3"/>
    <x v="1"/>
    <x v="19"/>
    <x v="1"/>
    <x v="1"/>
    <n v="393"/>
    <n v="1572"/>
  </r>
  <r>
    <n v="155"/>
    <x v="37"/>
    <x v="154"/>
    <x v="2"/>
    <x v="0"/>
    <x v="9"/>
    <x v="0"/>
    <x v="2"/>
    <n v="319"/>
    <n v="638"/>
  </r>
  <r>
    <n v="156"/>
    <x v="125"/>
    <x v="155"/>
    <x v="0"/>
    <x v="0"/>
    <x v="15"/>
    <x v="1"/>
    <x v="2"/>
    <n v="182"/>
    <n v="364"/>
  </r>
  <r>
    <n v="157"/>
    <x v="101"/>
    <x v="156"/>
    <x v="1"/>
    <x v="0"/>
    <x v="10"/>
    <x v="2"/>
    <x v="3"/>
    <n v="59"/>
    <n v="59"/>
  </r>
  <r>
    <n v="158"/>
    <x v="126"/>
    <x v="157"/>
    <x v="3"/>
    <x v="1"/>
    <x v="41"/>
    <x v="1"/>
    <x v="2"/>
    <n v="475"/>
    <n v="950"/>
  </r>
  <r>
    <n v="159"/>
    <x v="127"/>
    <x v="158"/>
    <x v="0"/>
    <x v="0"/>
    <x v="27"/>
    <x v="4"/>
    <x v="2"/>
    <n v="168"/>
    <n v="336"/>
  </r>
  <r>
    <n v="160"/>
    <x v="7"/>
    <x v="159"/>
    <x v="2"/>
    <x v="1"/>
    <x v="9"/>
    <x v="0"/>
    <x v="2"/>
    <n v="76"/>
    <n v="152"/>
  </r>
  <r>
    <n v="161"/>
    <x v="48"/>
    <x v="160"/>
    <x v="1"/>
    <x v="1"/>
    <x v="29"/>
    <x v="4"/>
    <x v="1"/>
    <n v="48"/>
    <n v="192"/>
  </r>
  <r>
    <n v="162"/>
    <x v="75"/>
    <x v="161"/>
    <x v="1"/>
    <x v="0"/>
    <x v="29"/>
    <x v="2"/>
    <x v="3"/>
    <n v="64"/>
    <n v="64"/>
  </r>
  <r>
    <n v="163"/>
    <x v="80"/>
    <x v="162"/>
    <x v="3"/>
    <x v="0"/>
    <x v="10"/>
    <x v="2"/>
    <x v="2"/>
    <n v="26"/>
    <n v="52"/>
  </r>
  <r>
    <n v="164"/>
    <x v="64"/>
    <x v="163"/>
    <x v="1"/>
    <x v="1"/>
    <x v="38"/>
    <x v="3"/>
    <x v="2"/>
    <n v="270"/>
    <n v="540"/>
  </r>
  <r>
    <n v="165"/>
    <x v="128"/>
    <x v="164"/>
    <x v="1"/>
    <x v="0"/>
    <x v="33"/>
    <x v="1"/>
    <x v="0"/>
    <n v="185"/>
    <n v="555"/>
  </r>
  <r>
    <n v="166"/>
    <x v="74"/>
    <x v="165"/>
    <x v="1"/>
    <x v="1"/>
    <x v="12"/>
    <x v="2"/>
    <x v="3"/>
    <n v="472"/>
    <n v="472"/>
  </r>
  <r>
    <n v="167"/>
    <x v="129"/>
    <x v="166"/>
    <x v="1"/>
    <x v="0"/>
    <x v="9"/>
    <x v="0"/>
    <x v="0"/>
    <n v="351"/>
    <n v="1053"/>
  </r>
  <r>
    <n v="168"/>
    <x v="130"/>
    <x v="167"/>
    <x v="2"/>
    <x v="0"/>
    <x v="0"/>
    <x v="4"/>
    <x v="4"/>
    <n v="57"/>
    <n v="285"/>
  </r>
  <r>
    <n v="169"/>
    <x v="131"/>
    <x v="168"/>
    <x v="0"/>
    <x v="0"/>
    <x v="6"/>
    <x v="0"/>
    <x v="0"/>
    <n v="119"/>
    <n v="357"/>
  </r>
  <r>
    <n v="170"/>
    <x v="111"/>
    <x v="169"/>
    <x v="2"/>
    <x v="1"/>
    <x v="8"/>
    <x v="4"/>
    <x v="1"/>
    <n v="201"/>
    <n v="804"/>
  </r>
  <r>
    <n v="171"/>
    <x v="83"/>
    <x v="170"/>
    <x v="2"/>
    <x v="1"/>
    <x v="22"/>
    <x v="1"/>
    <x v="2"/>
    <n v="234"/>
    <n v="468"/>
  </r>
  <r>
    <n v="172"/>
    <x v="124"/>
    <x v="171"/>
    <x v="3"/>
    <x v="1"/>
    <x v="27"/>
    <x v="0"/>
    <x v="3"/>
    <n v="186"/>
    <n v="186"/>
  </r>
  <r>
    <n v="173"/>
    <x v="132"/>
    <x v="172"/>
    <x v="1"/>
    <x v="1"/>
    <x v="15"/>
    <x v="4"/>
    <x v="1"/>
    <n v="413"/>
    <n v="1652"/>
  </r>
  <r>
    <n v="174"/>
    <x v="99"/>
    <x v="173"/>
    <x v="2"/>
    <x v="0"/>
    <x v="3"/>
    <x v="2"/>
    <x v="0"/>
    <n v="232"/>
    <n v="696"/>
  </r>
  <r>
    <n v="175"/>
    <x v="68"/>
    <x v="174"/>
    <x v="1"/>
    <x v="0"/>
    <x v="32"/>
    <x v="3"/>
    <x v="2"/>
    <n v="137"/>
    <n v="274"/>
  </r>
  <r>
    <n v="176"/>
    <x v="36"/>
    <x v="175"/>
    <x v="2"/>
    <x v="1"/>
    <x v="27"/>
    <x v="0"/>
    <x v="3"/>
    <n v="109"/>
    <n v="109"/>
  </r>
  <r>
    <n v="177"/>
    <x v="133"/>
    <x v="176"/>
    <x v="2"/>
    <x v="1"/>
    <x v="25"/>
    <x v="3"/>
    <x v="0"/>
    <n v="57"/>
    <n v="171"/>
  </r>
  <r>
    <n v="178"/>
    <x v="134"/>
    <x v="177"/>
    <x v="3"/>
    <x v="1"/>
    <x v="31"/>
    <x v="3"/>
    <x v="0"/>
    <n v="121"/>
    <n v="363"/>
  </r>
  <r>
    <n v="179"/>
    <x v="135"/>
    <x v="178"/>
    <x v="0"/>
    <x v="1"/>
    <x v="12"/>
    <x v="0"/>
    <x v="4"/>
    <n v="365"/>
    <n v="1825"/>
  </r>
  <r>
    <n v="180"/>
    <x v="136"/>
    <x v="179"/>
    <x v="0"/>
    <x v="1"/>
    <x v="1"/>
    <x v="4"/>
    <x v="2"/>
    <n v="58"/>
    <n v="116"/>
  </r>
  <r>
    <n v="181"/>
    <x v="53"/>
    <x v="180"/>
    <x v="2"/>
    <x v="0"/>
    <x v="23"/>
    <x v="1"/>
    <x v="2"/>
    <n v="500"/>
    <n v="1000"/>
  </r>
  <r>
    <n v="182"/>
    <x v="2"/>
    <x v="181"/>
    <x v="3"/>
    <x v="0"/>
    <x v="2"/>
    <x v="4"/>
    <x v="3"/>
    <n v="68"/>
    <n v="68"/>
  </r>
  <r>
    <n v="183"/>
    <x v="137"/>
    <x v="182"/>
    <x v="1"/>
    <x v="1"/>
    <x v="1"/>
    <x v="0"/>
    <x v="1"/>
    <n v="351"/>
    <n v="1404"/>
  </r>
  <r>
    <n v="184"/>
    <x v="138"/>
    <x v="183"/>
    <x v="1"/>
    <x v="0"/>
    <x v="22"/>
    <x v="4"/>
    <x v="0"/>
    <n v="162"/>
    <n v="486"/>
  </r>
  <r>
    <n v="185"/>
    <x v="139"/>
    <x v="184"/>
    <x v="2"/>
    <x v="1"/>
    <x v="26"/>
    <x v="2"/>
    <x v="4"/>
    <n v="162"/>
    <n v="810"/>
  </r>
  <r>
    <n v="186"/>
    <x v="18"/>
    <x v="185"/>
    <x v="0"/>
    <x v="1"/>
    <x v="8"/>
    <x v="3"/>
    <x v="4"/>
    <n v="481"/>
    <n v="2405"/>
  </r>
  <r>
    <n v="187"/>
    <x v="96"/>
    <x v="186"/>
    <x v="3"/>
    <x v="1"/>
    <x v="13"/>
    <x v="4"/>
    <x v="4"/>
    <n v="258"/>
    <n v="1290"/>
  </r>
  <r>
    <n v="188"/>
    <x v="41"/>
    <x v="187"/>
    <x v="0"/>
    <x v="1"/>
    <x v="32"/>
    <x v="3"/>
    <x v="4"/>
    <n v="52"/>
    <n v="260"/>
  </r>
  <r>
    <n v="189"/>
    <x v="140"/>
    <x v="188"/>
    <x v="1"/>
    <x v="1"/>
    <x v="39"/>
    <x v="3"/>
    <x v="0"/>
    <n v="63"/>
    <n v="189"/>
  </r>
  <r>
    <n v="190"/>
    <x v="141"/>
    <x v="189"/>
    <x v="0"/>
    <x v="1"/>
    <x v="6"/>
    <x v="3"/>
    <x v="4"/>
    <n v="225"/>
    <n v="1125"/>
  </r>
  <r>
    <n v="191"/>
    <x v="142"/>
    <x v="190"/>
    <x v="1"/>
    <x v="1"/>
    <x v="33"/>
    <x v="4"/>
    <x v="1"/>
    <n v="24"/>
    <n v="96"/>
  </r>
  <r>
    <n v="192"/>
    <x v="63"/>
    <x v="191"/>
    <x v="3"/>
    <x v="1"/>
    <x v="31"/>
    <x v="3"/>
    <x v="2"/>
    <n v="292"/>
    <n v="584"/>
  </r>
  <r>
    <n v="193"/>
    <x v="143"/>
    <x v="192"/>
    <x v="3"/>
    <x v="1"/>
    <x v="38"/>
    <x v="4"/>
    <x v="4"/>
    <n v="167"/>
    <n v="835"/>
  </r>
  <r>
    <n v="194"/>
    <x v="57"/>
    <x v="193"/>
    <x v="2"/>
    <x v="0"/>
    <x v="6"/>
    <x v="2"/>
    <x v="1"/>
    <n v="491"/>
    <n v="1964"/>
  </r>
  <r>
    <n v="195"/>
    <x v="144"/>
    <x v="194"/>
    <x v="2"/>
    <x v="0"/>
    <x v="26"/>
    <x v="0"/>
    <x v="3"/>
    <n v="140"/>
    <n v="140"/>
  </r>
  <r>
    <n v="196"/>
    <x v="145"/>
    <x v="195"/>
    <x v="0"/>
    <x v="1"/>
    <x v="39"/>
    <x v="0"/>
    <x v="4"/>
    <n v="116"/>
    <n v="580"/>
  </r>
  <r>
    <n v="197"/>
    <x v="93"/>
    <x v="196"/>
    <x v="3"/>
    <x v="1"/>
    <x v="36"/>
    <x v="1"/>
    <x v="2"/>
    <n v="43"/>
    <n v="86"/>
  </r>
  <r>
    <n v="198"/>
    <x v="108"/>
    <x v="197"/>
    <x v="3"/>
    <x v="1"/>
    <x v="4"/>
    <x v="4"/>
    <x v="2"/>
    <n v="111"/>
    <n v="222"/>
  </r>
  <r>
    <n v="199"/>
    <x v="146"/>
    <x v="198"/>
    <x v="2"/>
    <x v="0"/>
    <x v="34"/>
    <x v="0"/>
    <x v="4"/>
    <n v="459"/>
    <n v="2295"/>
  </r>
  <r>
    <n v="200"/>
    <x v="66"/>
    <x v="199"/>
    <x v="1"/>
    <x v="0"/>
    <x v="38"/>
    <x v="1"/>
    <x v="2"/>
    <n v="333"/>
    <n v="666"/>
  </r>
  <r>
    <n v="201"/>
    <x v="92"/>
    <x v="200"/>
    <x v="0"/>
    <x v="1"/>
    <x v="6"/>
    <x v="4"/>
    <x v="3"/>
    <n v="101"/>
    <n v="101"/>
  </r>
  <r>
    <n v="202"/>
    <x v="59"/>
    <x v="201"/>
    <x v="0"/>
    <x v="1"/>
    <x v="23"/>
    <x v="3"/>
    <x v="3"/>
    <n v="308"/>
    <n v="308"/>
  </r>
  <r>
    <n v="203"/>
    <x v="120"/>
    <x v="202"/>
    <x v="2"/>
    <x v="1"/>
    <x v="29"/>
    <x v="4"/>
    <x v="2"/>
    <n v="256"/>
    <n v="512"/>
  </r>
  <r>
    <n v="204"/>
    <x v="147"/>
    <x v="203"/>
    <x v="3"/>
    <x v="0"/>
    <x v="4"/>
    <x v="2"/>
    <x v="3"/>
    <n v="169"/>
    <n v="169"/>
  </r>
  <r>
    <n v="205"/>
    <x v="148"/>
    <x v="204"/>
    <x v="2"/>
    <x v="0"/>
    <x v="26"/>
    <x v="4"/>
    <x v="0"/>
    <n v="384"/>
    <n v="1152"/>
  </r>
  <r>
    <n v="206"/>
    <x v="73"/>
    <x v="205"/>
    <x v="2"/>
    <x v="0"/>
    <x v="21"/>
    <x v="0"/>
    <x v="4"/>
    <n v="320"/>
    <n v="1600"/>
  </r>
  <r>
    <n v="207"/>
    <x v="64"/>
    <x v="206"/>
    <x v="2"/>
    <x v="0"/>
    <x v="1"/>
    <x v="1"/>
    <x v="1"/>
    <n v="43"/>
    <n v="172"/>
  </r>
  <r>
    <n v="208"/>
    <x v="149"/>
    <x v="207"/>
    <x v="2"/>
    <x v="0"/>
    <x v="30"/>
    <x v="0"/>
    <x v="4"/>
    <n v="118"/>
    <n v="590"/>
  </r>
  <r>
    <n v="209"/>
    <x v="95"/>
    <x v="208"/>
    <x v="1"/>
    <x v="1"/>
    <x v="30"/>
    <x v="0"/>
    <x v="3"/>
    <n v="211"/>
    <n v="211"/>
  </r>
  <r>
    <n v="210"/>
    <x v="150"/>
    <x v="209"/>
    <x v="1"/>
    <x v="0"/>
    <x v="19"/>
    <x v="3"/>
    <x v="4"/>
    <n v="239"/>
    <n v="1195"/>
  </r>
  <r>
    <n v="211"/>
    <x v="151"/>
    <x v="210"/>
    <x v="3"/>
    <x v="0"/>
    <x v="35"/>
    <x v="4"/>
    <x v="2"/>
    <n v="165"/>
    <n v="330"/>
  </r>
  <r>
    <n v="212"/>
    <x v="152"/>
    <x v="211"/>
    <x v="2"/>
    <x v="1"/>
    <x v="24"/>
    <x v="2"/>
    <x v="2"/>
    <n v="249"/>
    <n v="498"/>
  </r>
  <r>
    <n v="213"/>
    <x v="153"/>
    <x v="212"/>
    <x v="1"/>
    <x v="1"/>
    <x v="27"/>
    <x v="3"/>
    <x v="0"/>
    <n v="150"/>
    <n v="450"/>
  </r>
  <r>
    <n v="214"/>
    <x v="154"/>
    <x v="213"/>
    <x v="3"/>
    <x v="0"/>
    <x v="9"/>
    <x v="1"/>
    <x v="1"/>
    <n v="481"/>
    <n v="1924"/>
  </r>
  <r>
    <n v="215"/>
    <x v="55"/>
    <x v="214"/>
    <x v="2"/>
    <x v="1"/>
    <x v="10"/>
    <x v="0"/>
    <x v="0"/>
    <n v="285"/>
    <n v="855"/>
  </r>
  <r>
    <n v="216"/>
    <x v="102"/>
    <x v="215"/>
    <x v="0"/>
    <x v="1"/>
    <x v="1"/>
    <x v="1"/>
    <x v="1"/>
    <n v="88"/>
    <n v="352"/>
  </r>
  <r>
    <n v="217"/>
    <x v="155"/>
    <x v="216"/>
    <x v="1"/>
    <x v="0"/>
    <x v="25"/>
    <x v="1"/>
    <x v="4"/>
    <n v="450"/>
    <n v="2250"/>
  </r>
  <r>
    <n v="218"/>
    <x v="70"/>
    <x v="217"/>
    <x v="3"/>
    <x v="1"/>
    <x v="5"/>
    <x v="0"/>
    <x v="1"/>
    <n v="158"/>
    <n v="632"/>
  </r>
  <r>
    <n v="219"/>
    <x v="50"/>
    <x v="218"/>
    <x v="0"/>
    <x v="0"/>
    <x v="18"/>
    <x v="3"/>
    <x v="2"/>
    <n v="27"/>
    <n v="54"/>
  </r>
  <r>
    <n v="220"/>
    <x v="121"/>
    <x v="219"/>
    <x v="2"/>
    <x v="1"/>
    <x v="19"/>
    <x v="3"/>
    <x v="0"/>
    <n v="349"/>
    <n v="1047"/>
  </r>
  <r>
    <n v="221"/>
    <x v="156"/>
    <x v="220"/>
    <x v="2"/>
    <x v="0"/>
    <x v="10"/>
    <x v="1"/>
    <x v="0"/>
    <n v="387"/>
    <n v="1161"/>
  </r>
  <r>
    <n v="222"/>
    <x v="157"/>
    <x v="221"/>
    <x v="2"/>
    <x v="1"/>
    <x v="26"/>
    <x v="4"/>
    <x v="4"/>
    <n v="188"/>
    <n v="940"/>
  </r>
  <r>
    <n v="223"/>
    <x v="123"/>
    <x v="222"/>
    <x v="1"/>
    <x v="1"/>
    <x v="2"/>
    <x v="3"/>
    <x v="3"/>
    <n v="439"/>
    <n v="439"/>
  </r>
  <r>
    <n v="224"/>
    <x v="158"/>
    <x v="223"/>
    <x v="3"/>
    <x v="0"/>
    <x v="32"/>
    <x v="0"/>
    <x v="0"/>
    <n v="461"/>
    <n v="1383"/>
  </r>
  <r>
    <n v="225"/>
    <x v="65"/>
    <x v="224"/>
    <x v="0"/>
    <x v="1"/>
    <x v="17"/>
    <x v="1"/>
    <x v="1"/>
    <n v="242"/>
    <n v="968"/>
  </r>
  <r>
    <n v="226"/>
    <x v="10"/>
    <x v="225"/>
    <x v="3"/>
    <x v="1"/>
    <x v="30"/>
    <x v="3"/>
    <x v="3"/>
    <n v="461"/>
    <n v="461"/>
  </r>
  <r>
    <n v="227"/>
    <x v="22"/>
    <x v="226"/>
    <x v="1"/>
    <x v="1"/>
    <x v="16"/>
    <x v="4"/>
    <x v="2"/>
    <n v="341"/>
    <n v="682"/>
  </r>
  <r>
    <n v="228"/>
    <x v="159"/>
    <x v="227"/>
    <x v="3"/>
    <x v="0"/>
    <x v="22"/>
    <x v="2"/>
    <x v="1"/>
    <n v="29"/>
    <n v="116"/>
  </r>
  <r>
    <n v="229"/>
    <x v="76"/>
    <x v="228"/>
    <x v="1"/>
    <x v="0"/>
    <x v="11"/>
    <x v="0"/>
    <x v="0"/>
    <n v="168"/>
    <n v="504"/>
  </r>
  <r>
    <n v="230"/>
    <x v="160"/>
    <x v="229"/>
    <x v="2"/>
    <x v="0"/>
    <x v="8"/>
    <x v="3"/>
    <x v="3"/>
    <n v="130"/>
    <n v="130"/>
  </r>
  <r>
    <n v="231"/>
    <x v="144"/>
    <x v="230"/>
    <x v="0"/>
    <x v="1"/>
    <x v="26"/>
    <x v="3"/>
    <x v="4"/>
    <n v="241"/>
    <n v="1205"/>
  </r>
  <r>
    <n v="232"/>
    <x v="81"/>
    <x v="231"/>
    <x v="2"/>
    <x v="0"/>
    <x v="6"/>
    <x v="0"/>
    <x v="1"/>
    <n v="262"/>
    <n v="1048"/>
  </r>
  <r>
    <n v="233"/>
    <x v="161"/>
    <x v="232"/>
    <x v="3"/>
    <x v="1"/>
    <x v="14"/>
    <x v="4"/>
    <x v="3"/>
    <n v="66"/>
    <n v="66"/>
  </r>
  <r>
    <n v="234"/>
    <x v="162"/>
    <x v="233"/>
    <x v="2"/>
    <x v="0"/>
    <x v="18"/>
    <x v="3"/>
    <x v="0"/>
    <n v="52"/>
    <n v="156"/>
  </r>
  <r>
    <n v="235"/>
    <x v="163"/>
    <x v="234"/>
    <x v="0"/>
    <x v="0"/>
    <x v="13"/>
    <x v="4"/>
    <x v="1"/>
    <n v="415"/>
    <n v="1660"/>
  </r>
  <r>
    <n v="236"/>
    <x v="150"/>
    <x v="235"/>
    <x v="2"/>
    <x v="1"/>
    <x v="17"/>
    <x v="2"/>
    <x v="4"/>
    <n v="385"/>
    <n v="1925"/>
  </r>
  <r>
    <n v="237"/>
    <x v="164"/>
    <x v="236"/>
    <x v="0"/>
    <x v="0"/>
    <x v="28"/>
    <x v="3"/>
    <x v="2"/>
    <n v="195"/>
    <n v="390"/>
  </r>
  <r>
    <n v="238"/>
    <x v="165"/>
    <x v="237"/>
    <x v="0"/>
    <x v="1"/>
    <x v="28"/>
    <x v="3"/>
    <x v="2"/>
    <n v="262"/>
    <n v="524"/>
  </r>
  <r>
    <n v="239"/>
    <x v="166"/>
    <x v="238"/>
    <x v="2"/>
    <x v="1"/>
    <x v="39"/>
    <x v="4"/>
    <x v="2"/>
    <n v="181"/>
    <n v="362"/>
  </r>
  <r>
    <n v="240"/>
    <x v="167"/>
    <x v="239"/>
    <x v="1"/>
    <x v="0"/>
    <x v="36"/>
    <x v="1"/>
    <x v="4"/>
    <n v="295"/>
    <n v="1475"/>
  </r>
  <r>
    <n v="241"/>
    <x v="168"/>
    <x v="240"/>
    <x v="3"/>
    <x v="0"/>
    <x v="42"/>
    <x v="1"/>
    <x v="2"/>
    <n v="159"/>
    <n v="318"/>
  </r>
  <r>
    <n v="242"/>
    <x v="86"/>
    <x v="241"/>
    <x v="1"/>
    <x v="1"/>
    <x v="10"/>
    <x v="1"/>
    <x v="4"/>
    <n v="211"/>
    <n v="1055"/>
  </r>
  <r>
    <n v="243"/>
    <x v="89"/>
    <x v="242"/>
    <x v="1"/>
    <x v="1"/>
    <x v="5"/>
    <x v="3"/>
    <x v="0"/>
    <n v="414"/>
    <n v="1242"/>
  </r>
  <r>
    <n v="244"/>
    <x v="64"/>
    <x v="243"/>
    <x v="2"/>
    <x v="1"/>
    <x v="33"/>
    <x v="4"/>
    <x v="0"/>
    <n v="21"/>
    <n v="63"/>
  </r>
  <r>
    <n v="245"/>
    <x v="35"/>
    <x v="244"/>
    <x v="3"/>
    <x v="0"/>
    <x v="41"/>
    <x v="3"/>
    <x v="1"/>
    <n v="351"/>
    <n v="1404"/>
  </r>
  <r>
    <n v="246"/>
    <x v="144"/>
    <x v="245"/>
    <x v="3"/>
    <x v="1"/>
    <x v="19"/>
    <x v="3"/>
    <x v="2"/>
    <n v="92"/>
    <n v="184"/>
  </r>
  <r>
    <n v="247"/>
    <x v="143"/>
    <x v="246"/>
    <x v="1"/>
    <x v="0"/>
    <x v="25"/>
    <x v="0"/>
    <x v="0"/>
    <n v="307"/>
    <n v="921"/>
  </r>
  <r>
    <n v="248"/>
    <x v="67"/>
    <x v="247"/>
    <x v="2"/>
    <x v="0"/>
    <x v="33"/>
    <x v="3"/>
    <x v="2"/>
    <n v="323"/>
    <n v="646"/>
  </r>
  <r>
    <n v="249"/>
    <x v="169"/>
    <x v="248"/>
    <x v="3"/>
    <x v="0"/>
    <x v="6"/>
    <x v="3"/>
    <x v="2"/>
    <n v="87"/>
    <n v="174"/>
  </r>
  <r>
    <n v="250"/>
    <x v="133"/>
    <x v="249"/>
    <x v="1"/>
    <x v="0"/>
    <x v="7"/>
    <x v="3"/>
    <x v="4"/>
    <n v="192"/>
    <n v="960"/>
  </r>
  <r>
    <n v="251"/>
    <x v="170"/>
    <x v="250"/>
    <x v="3"/>
    <x v="0"/>
    <x v="33"/>
    <x v="1"/>
    <x v="1"/>
    <n v="414"/>
    <n v="1656"/>
  </r>
  <r>
    <n v="252"/>
    <x v="171"/>
    <x v="251"/>
    <x v="2"/>
    <x v="0"/>
    <x v="22"/>
    <x v="4"/>
    <x v="1"/>
    <n v="188"/>
    <n v="752"/>
  </r>
  <r>
    <n v="253"/>
    <x v="172"/>
    <x v="252"/>
    <x v="2"/>
    <x v="1"/>
    <x v="29"/>
    <x v="0"/>
    <x v="1"/>
    <n v="120"/>
    <n v="480"/>
  </r>
  <r>
    <n v="254"/>
    <x v="106"/>
    <x v="253"/>
    <x v="2"/>
    <x v="0"/>
    <x v="25"/>
    <x v="1"/>
    <x v="3"/>
    <n v="135"/>
    <n v="135"/>
  </r>
  <r>
    <n v="255"/>
    <x v="173"/>
    <x v="254"/>
    <x v="3"/>
    <x v="1"/>
    <x v="36"/>
    <x v="0"/>
    <x v="2"/>
    <n v="42"/>
    <n v="84"/>
  </r>
  <r>
    <n v="256"/>
    <x v="34"/>
    <x v="255"/>
    <x v="0"/>
    <x v="1"/>
    <x v="39"/>
    <x v="0"/>
    <x v="3"/>
    <n v="409"/>
    <n v="409"/>
  </r>
  <r>
    <n v="257"/>
    <x v="68"/>
    <x v="256"/>
    <x v="3"/>
    <x v="1"/>
    <x v="39"/>
    <x v="4"/>
    <x v="0"/>
    <n v="142"/>
    <n v="426"/>
  </r>
  <r>
    <n v="258"/>
    <x v="174"/>
    <x v="257"/>
    <x v="0"/>
    <x v="0"/>
    <x v="26"/>
    <x v="1"/>
    <x v="4"/>
    <n v="269"/>
    <n v="1345"/>
  </r>
  <r>
    <n v="259"/>
    <x v="46"/>
    <x v="258"/>
    <x v="2"/>
    <x v="0"/>
    <x v="10"/>
    <x v="1"/>
    <x v="4"/>
    <n v="456"/>
    <n v="2280"/>
  </r>
  <r>
    <n v="260"/>
    <x v="175"/>
    <x v="259"/>
    <x v="1"/>
    <x v="0"/>
    <x v="14"/>
    <x v="2"/>
    <x v="2"/>
    <n v="363"/>
    <n v="726"/>
  </r>
  <r>
    <n v="261"/>
    <x v="176"/>
    <x v="260"/>
    <x v="0"/>
    <x v="0"/>
    <x v="1"/>
    <x v="4"/>
    <x v="2"/>
    <n v="357"/>
    <n v="714"/>
  </r>
  <r>
    <n v="262"/>
    <x v="177"/>
    <x v="261"/>
    <x v="2"/>
    <x v="0"/>
    <x v="24"/>
    <x v="2"/>
    <x v="4"/>
    <n v="432"/>
    <n v="2160"/>
  </r>
  <r>
    <n v="263"/>
    <x v="178"/>
    <x v="262"/>
    <x v="2"/>
    <x v="0"/>
    <x v="14"/>
    <x v="1"/>
    <x v="4"/>
    <n v="122"/>
    <n v="610"/>
  </r>
  <r>
    <n v="264"/>
    <x v="179"/>
    <x v="263"/>
    <x v="0"/>
    <x v="1"/>
    <x v="0"/>
    <x v="1"/>
    <x v="0"/>
    <n v="400"/>
    <n v="1200"/>
  </r>
  <r>
    <n v="265"/>
    <x v="23"/>
    <x v="264"/>
    <x v="1"/>
    <x v="1"/>
    <x v="19"/>
    <x v="2"/>
    <x v="1"/>
    <n v="311"/>
    <n v="1244"/>
  </r>
  <r>
    <n v="266"/>
    <x v="180"/>
    <x v="265"/>
    <x v="2"/>
    <x v="1"/>
    <x v="25"/>
    <x v="0"/>
    <x v="0"/>
    <n v="500"/>
    <n v="1500"/>
  </r>
  <r>
    <n v="267"/>
    <x v="181"/>
    <x v="266"/>
    <x v="0"/>
    <x v="0"/>
    <x v="37"/>
    <x v="2"/>
    <x v="1"/>
    <n v="411"/>
    <n v="1644"/>
  </r>
  <r>
    <n v="268"/>
    <x v="182"/>
    <x v="267"/>
    <x v="1"/>
    <x v="0"/>
    <x v="23"/>
    <x v="4"/>
    <x v="2"/>
    <n v="49"/>
    <n v="98"/>
  </r>
  <r>
    <n v="269"/>
    <x v="94"/>
    <x v="268"/>
    <x v="1"/>
    <x v="1"/>
    <x v="31"/>
    <x v="3"/>
    <x v="4"/>
    <n v="38"/>
    <n v="190"/>
  </r>
  <r>
    <n v="270"/>
    <x v="143"/>
    <x v="269"/>
    <x v="2"/>
    <x v="1"/>
    <x v="28"/>
    <x v="2"/>
    <x v="3"/>
    <n v="210"/>
    <n v="210"/>
  </r>
  <r>
    <n v="271"/>
    <x v="183"/>
    <x v="270"/>
    <x v="3"/>
    <x v="0"/>
    <x v="23"/>
    <x v="0"/>
    <x v="2"/>
    <n v="126"/>
    <n v="252"/>
  </r>
  <r>
    <n v="272"/>
    <x v="1"/>
    <x v="271"/>
    <x v="3"/>
    <x v="0"/>
    <x v="8"/>
    <x v="2"/>
    <x v="3"/>
    <n v="413"/>
    <n v="413"/>
  </r>
  <r>
    <n v="273"/>
    <x v="178"/>
    <x v="272"/>
    <x v="2"/>
    <x v="0"/>
    <x v="28"/>
    <x v="4"/>
    <x v="2"/>
    <n v="260"/>
    <n v="520"/>
  </r>
  <r>
    <n v="274"/>
    <x v="82"/>
    <x v="273"/>
    <x v="1"/>
    <x v="1"/>
    <x v="13"/>
    <x v="0"/>
    <x v="3"/>
    <n v="50"/>
    <n v="50"/>
  </r>
  <r>
    <n v="275"/>
    <x v="184"/>
    <x v="274"/>
    <x v="2"/>
    <x v="0"/>
    <x v="13"/>
    <x v="4"/>
    <x v="3"/>
    <n v="494"/>
    <n v="494"/>
  </r>
  <r>
    <n v="276"/>
    <x v="38"/>
    <x v="275"/>
    <x v="0"/>
    <x v="1"/>
    <x v="10"/>
    <x v="0"/>
    <x v="1"/>
    <n v="347"/>
    <n v="1388"/>
  </r>
  <r>
    <n v="277"/>
    <x v="153"/>
    <x v="276"/>
    <x v="3"/>
    <x v="1"/>
    <x v="34"/>
    <x v="3"/>
    <x v="2"/>
    <n v="165"/>
    <n v="330"/>
  </r>
  <r>
    <n v="278"/>
    <x v="54"/>
    <x v="277"/>
    <x v="0"/>
    <x v="1"/>
    <x v="41"/>
    <x v="2"/>
    <x v="2"/>
    <n v="273"/>
    <n v="546"/>
  </r>
  <r>
    <n v="279"/>
    <x v="168"/>
    <x v="278"/>
    <x v="2"/>
    <x v="0"/>
    <x v="5"/>
    <x v="0"/>
    <x v="3"/>
    <n v="368"/>
    <n v="368"/>
  </r>
  <r>
    <n v="280"/>
    <x v="185"/>
    <x v="279"/>
    <x v="2"/>
    <x v="1"/>
    <x v="28"/>
    <x v="1"/>
    <x v="0"/>
    <n v="285"/>
    <n v="855"/>
  </r>
  <r>
    <n v="281"/>
    <x v="170"/>
    <x v="280"/>
    <x v="1"/>
    <x v="0"/>
    <x v="26"/>
    <x v="0"/>
    <x v="4"/>
    <n v="350"/>
    <n v="1750"/>
  </r>
  <r>
    <n v="282"/>
    <x v="186"/>
    <x v="281"/>
    <x v="1"/>
    <x v="1"/>
    <x v="4"/>
    <x v="4"/>
    <x v="2"/>
    <n v="183"/>
    <n v="366"/>
  </r>
  <r>
    <n v="283"/>
    <x v="187"/>
    <x v="282"/>
    <x v="1"/>
    <x v="1"/>
    <x v="38"/>
    <x v="4"/>
    <x v="4"/>
    <n v="489"/>
    <n v="2445"/>
  </r>
  <r>
    <n v="284"/>
    <x v="24"/>
    <x v="283"/>
    <x v="0"/>
    <x v="1"/>
    <x v="36"/>
    <x v="0"/>
    <x v="2"/>
    <n v="103"/>
    <n v="206"/>
  </r>
  <r>
    <n v="285"/>
    <x v="188"/>
    <x v="284"/>
    <x v="1"/>
    <x v="0"/>
    <x v="0"/>
    <x v="0"/>
    <x v="2"/>
    <n v="271"/>
    <n v="542"/>
  </r>
  <r>
    <n v="286"/>
    <x v="189"/>
    <x v="285"/>
    <x v="2"/>
    <x v="0"/>
    <x v="8"/>
    <x v="4"/>
    <x v="3"/>
    <n v="130"/>
    <n v="130"/>
  </r>
  <r>
    <n v="287"/>
    <x v="190"/>
    <x v="286"/>
    <x v="1"/>
    <x v="1"/>
    <x v="39"/>
    <x v="4"/>
    <x v="0"/>
    <n v="323"/>
    <n v="969"/>
  </r>
  <r>
    <n v="288"/>
    <x v="191"/>
    <x v="287"/>
    <x v="3"/>
    <x v="1"/>
    <x v="4"/>
    <x v="4"/>
    <x v="2"/>
    <n v="68"/>
    <n v="136"/>
  </r>
  <r>
    <n v="289"/>
    <x v="62"/>
    <x v="288"/>
    <x v="1"/>
    <x v="1"/>
    <x v="16"/>
    <x v="3"/>
    <x v="0"/>
    <n v="292"/>
    <n v="876"/>
  </r>
  <r>
    <n v="290"/>
    <x v="121"/>
    <x v="289"/>
    <x v="0"/>
    <x v="0"/>
    <x v="15"/>
    <x v="3"/>
    <x v="3"/>
    <n v="209"/>
    <n v="209"/>
  </r>
  <r>
    <n v="291"/>
    <x v="192"/>
    <x v="290"/>
    <x v="3"/>
    <x v="0"/>
    <x v="9"/>
    <x v="2"/>
    <x v="0"/>
    <n v="187"/>
    <n v="561"/>
  </r>
  <r>
    <n v="292"/>
    <x v="34"/>
    <x v="291"/>
    <x v="3"/>
    <x v="0"/>
    <x v="42"/>
    <x v="2"/>
    <x v="3"/>
    <n v="317"/>
    <n v="317"/>
  </r>
  <r>
    <n v="293"/>
    <x v="193"/>
    <x v="292"/>
    <x v="3"/>
    <x v="1"/>
    <x v="24"/>
    <x v="4"/>
    <x v="1"/>
    <n v="225"/>
    <n v="900"/>
  </r>
  <r>
    <n v="294"/>
    <x v="55"/>
    <x v="293"/>
    <x v="0"/>
    <x v="1"/>
    <x v="6"/>
    <x v="3"/>
    <x v="2"/>
    <n v="127"/>
    <n v="254"/>
  </r>
  <r>
    <n v="295"/>
    <x v="25"/>
    <x v="294"/>
    <x v="2"/>
    <x v="0"/>
    <x v="8"/>
    <x v="4"/>
    <x v="0"/>
    <n v="203"/>
    <n v="609"/>
  </r>
  <r>
    <n v="296"/>
    <x v="185"/>
    <x v="295"/>
    <x v="1"/>
    <x v="1"/>
    <x v="42"/>
    <x v="4"/>
    <x v="4"/>
    <n v="434"/>
    <n v="2170"/>
  </r>
  <r>
    <n v="297"/>
    <x v="6"/>
    <x v="296"/>
    <x v="3"/>
    <x v="0"/>
    <x v="24"/>
    <x v="1"/>
    <x v="4"/>
    <n v="469"/>
    <n v="2345"/>
  </r>
  <r>
    <n v="298"/>
    <x v="59"/>
    <x v="297"/>
    <x v="3"/>
    <x v="0"/>
    <x v="18"/>
    <x v="4"/>
    <x v="1"/>
    <n v="427"/>
    <n v="1708"/>
  </r>
  <r>
    <n v="299"/>
    <x v="81"/>
    <x v="298"/>
    <x v="3"/>
    <x v="1"/>
    <x v="30"/>
    <x v="1"/>
    <x v="0"/>
    <n v="37"/>
    <n v="111"/>
  </r>
  <r>
    <n v="300"/>
    <x v="95"/>
    <x v="299"/>
    <x v="2"/>
    <x v="1"/>
    <x v="18"/>
    <x v="2"/>
    <x v="3"/>
    <n v="300"/>
    <n v="300"/>
  </r>
  <r>
    <n v="301"/>
    <x v="194"/>
    <x v="300"/>
    <x v="2"/>
    <x v="0"/>
    <x v="28"/>
    <x v="4"/>
    <x v="4"/>
    <n v="499"/>
    <n v="2495"/>
  </r>
  <r>
    <n v="302"/>
    <x v="27"/>
    <x v="301"/>
    <x v="0"/>
    <x v="1"/>
    <x v="11"/>
    <x v="0"/>
    <x v="0"/>
    <n v="66"/>
    <n v="198"/>
  </r>
  <r>
    <n v="303"/>
    <x v="195"/>
    <x v="302"/>
    <x v="2"/>
    <x v="0"/>
    <x v="3"/>
    <x v="2"/>
    <x v="4"/>
    <n v="294"/>
    <n v="1470"/>
  </r>
  <r>
    <n v="304"/>
    <x v="18"/>
    <x v="303"/>
    <x v="1"/>
    <x v="1"/>
    <x v="17"/>
    <x v="0"/>
    <x v="2"/>
    <n v="122"/>
    <n v="244"/>
  </r>
  <r>
    <n v="305"/>
    <x v="196"/>
    <x v="304"/>
    <x v="0"/>
    <x v="1"/>
    <x v="31"/>
    <x v="2"/>
    <x v="1"/>
    <n v="296"/>
    <n v="1184"/>
  </r>
  <r>
    <n v="306"/>
    <x v="62"/>
    <x v="305"/>
    <x v="0"/>
    <x v="0"/>
    <x v="39"/>
    <x v="3"/>
    <x v="2"/>
    <n v="88"/>
    <n v="176"/>
  </r>
  <r>
    <n v="307"/>
    <x v="197"/>
    <x v="306"/>
    <x v="1"/>
    <x v="0"/>
    <x v="1"/>
    <x v="4"/>
    <x v="0"/>
    <n v="44"/>
    <n v="132"/>
  </r>
  <r>
    <n v="308"/>
    <x v="198"/>
    <x v="307"/>
    <x v="1"/>
    <x v="0"/>
    <x v="41"/>
    <x v="1"/>
    <x v="4"/>
    <n v="213"/>
    <n v="1065"/>
  </r>
  <r>
    <n v="309"/>
    <x v="82"/>
    <x v="308"/>
    <x v="1"/>
    <x v="1"/>
    <x v="31"/>
    <x v="2"/>
    <x v="4"/>
    <n v="98"/>
    <n v="490"/>
  </r>
  <r>
    <n v="310"/>
    <x v="180"/>
    <x v="309"/>
    <x v="0"/>
    <x v="0"/>
    <x v="6"/>
    <x v="1"/>
    <x v="4"/>
    <n v="415"/>
    <n v="2075"/>
  </r>
  <r>
    <n v="311"/>
    <x v="171"/>
    <x v="310"/>
    <x v="0"/>
    <x v="0"/>
    <x v="40"/>
    <x v="4"/>
    <x v="2"/>
    <n v="500"/>
    <n v="1000"/>
  </r>
  <r>
    <n v="312"/>
    <x v="199"/>
    <x v="311"/>
    <x v="0"/>
    <x v="0"/>
    <x v="36"/>
    <x v="1"/>
    <x v="1"/>
    <n v="38"/>
    <n v="152"/>
  </r>
  <r>
    <n v="313"/>
    <x v="200"/>
    <x v="312"/>
    <x v="1"/>
    <x v="0"/>
    <x v="6"/>
    <x v="1"/>
    <x v="1"/>
    <n v="221"/>
    <n v="884"/>
  </r>
  <r>
    <n v="314"/>
    <x v="20"/>
    <x v="313"/>
    <x v="1"/>
    <x v="1"/>
    <x v="7"/>
    <x v="2"/>
    <x v="0"/>
    <n v="121"/>
    <n v="363"/>
  </r>
  <r>
    <n v="315"/>
    <x v="17"/>
    <x v="314"/>
    <x v="3"/>
    <x v="0"/>
    <x v="7"/>
    <x v="3"/>
    <x v="1"/>
    <n v="86"/>
    <n v="344"/>
  </r>
  <r>
    <n v="316"/>
    <x v="76"/>
    <x v="315"/>
    <x v="2"/>
    <x v="0"/>
    <x v="17"/>
    <x v="2"/>
    <x v="2"/>
    <n v="200"/>
    <n v="400"/>
  </r>
  <r>
    <n v="317"/>
    <x v="201"/>
    <x v="316"/>
    <x v="3"/>
    <x v="0"/>
    <x v="6"/>
    <x v="2"/>
    <x v="0"/>
    <n v="247"/>
    <n v="741"/>
  </r>
  <r>
    <n v="318"/>
    <x v="86"/>
    <x v="317"/>
    <x v="1"/>
    <x v="0"/>
    <x v="25"/>
    <x v="3"/>
    <x v="2"/>
    <n v="133"/>
    <n v="266"/>
  </r>
  <r>
    <n v="319"/>
    <x v="158"/>
    <x v="318"/>
    <x v="0"/>
    <x v="0"/>
    <x v="34"/>
    <x v="2"/>
    <x v="4"/>
    <n v="401"/>
    <n v="2005"/>
  </r>
  <r>
    <n v="320"/>
    <x v="108"/>
    <x v="319"/>
    <x v="1"/>
    <x v="1"/>
    <x v="0"/>
    <x v="3"/>
    <x v="1"/>
    <n v="101"/>
    <n v="404"/>
  </r>
  <r>
    <n v="321"/>
    <x v="120"/>
    <x v="320"/>
    <x v="2"/>
    <x v="0"/>
    <x v="42"/>
    <x v="3"/>
    <x v="0"/>
    <n v="176"/>
    <n v="528"/>
  </r>
  <r>
    <n v="322"/>
    <x v="103"/>
    <x v="321"/>
    <x v="3"/>
    <x v="1"/>
    <x v="10"/>
    <x v="4"/>
    <x v="0"/>
    <n v="471"/>
    <n v="1413"/>
  </r>
  <r>
    <n v="323"/>
    <x v="134"/>
    <x v="322"/>
    <x v="3"/>
    <x v="0"/>
    <x v="16"/>
    <x v="4"/>
    <x v="2"/>
    <n v="258"/>
    <n v="516"/>
  </r>
  <r>
    <n v="324"/>
    <x v="193"/>
    <x v="323"/>
    <x v="0"/>
    <x v="1"/>
    <x v="20"/>
    <x v="3"/>
    <x v="1"/>
    <n v="227"/>
    <n v="908"/>
  </r>
  <r>
    <n v="325"/>
    <x v="202"/>
    <x v="324"/>
    <x v="3"/>
    <x v="1"/>
    <x v="17"/>
    <x v="1"/>
    <x v="0"/>
    <n v="379"/>
    <n v="1137"/>
  </r>
  <r>
    <n v="326"/>
    <x v="41"/>
    <x v="325"/>
    <x v="3"/>
    <x v="0"/>
    <x v="1"/>
    <x v="1"/>
    <x v="2"/>
    <n v="470"/>
    <n v="940"/>
  </r>
  <r>
    <n v="327"/>
    <x v="52"/>
    <x v="326"/>
    <x v="1"/>
    <x v="0"/>
    <x v="18"/>
    <x v="3"/>
    <x v="3"/>
    <n v="26"/>
    <n v="26"/>
  </r>
  <r>
    <n v="328"/>
    <x v="203"/>
    <x v="327"/>
    <x v="3"/>
    <x v="1"/>
    <x v="21"/>
    <x v="4"/>
    <x v="2"/>
    <n v="133"/>
    <n v="266"/>
  </r>
  <r>
    <n v="329"/>
    <x v="204"/>
    <x v="328"/>
    <x v="3"/>
    <x v="1"/>
    <x v="21"/>
    <x v="0"/>
    <x v="0"/>
    <n v="375"/>
    <n v="1125"/>
  </r>
  <r>
    <n v="330"/>
    <x v="158"/>
    <x v="329"/>
    <x v="3"/>
    <x v="0"/>
    <x v="22"/>
    <x v="1"/>
    <x v="2"/>
    <n v="319"/>
    <n v="638"/>
  </r>
  <r>
    <n v="331"/>
    <x v="205"/>
    <x v="330"/>
    <x v="0"/>
    <x v="1"/>
    <x v="18"/>
    <x v="0"/>
    <x v="4"/>
    <n v="241"/>
    <n v="1205"/>
  </r>
  <r>
    <n v="332"/>
    <x v="206"/>
    <x v="331"/>
    <x v="0"/>
    <x v="0"/>
    <x v="19"/>
    <x v="1"/>
    <x v="1"/>
    <n v="30"/>
    <n v="120"/>
  </r>
  <r>
    <n v="333"/>
    <x v="207"/>
    <x v="332"/>
    <x v="1"/>
    <x v="0"/>
    <x v="6"/>
    <x v="3"/>
    <x v="0"/>
    <n v="50"/>
    <n v="150"/>
  </r>
  <r>
    <n v="334"/>
    <x v="208"/>
    <x v="333"/>
    <x v="3"/>
    <x v="1"/>
    <x v="28"/>
    <x v="2"/>
    <x v="3"/>
    <n v="93"/>
    <n v="93"/>
  </r>
  <r>
    <n v="335"/>
    <x v="209"/>
    <x v="334"/>
    <x v="0"/>
    <x v="0"/>
    <x v="9"/>
    <x v="4"/>
    <x v="2"/>
    <n v="39"/>
    <n v="78"/>
  </r>
  <r>
    <n v="336"/>
    <x v="56"/>
    <x v="335"/>
    <x v="0"/>
    <x v="0"/>
    <x v="35"/>
    <x v="0"/>
    <x v="3"/>
    <n v="144"/>
    <n v="144"/>
  </r>
  <r>
    <n v="337"/>
    <x v="206"/>
    <x v="336"/>
    <x v="1"/>
    <x v="0"/>
    <x v="2"/>
    <x v="0"/>
    <x v="4"/>
    <n v="68"/>
    <n v="340"/>
  </r>
  <r>
    <n v="338"/>
    <x v="210"/>
    <x v="337"/>
    <x v="2"/>
    <x v="0"/>
    <x v="23"/>
    <x v="1"/>
    <x v="0"/>
    <n v="59"/>
    <n v="177"/>
  </r>
  <r>
    <n v="339"/>
    <x v="62"/>
    <x v="338"/>
    <x v="3"/>
    <x v="1"/>
    <x v="6"/>
    <x v="2"/>
    <x v="1"/>
    <n v="38"/>
    <n v="152"/>
  </r>
  <r>
    <n v="340"/>
    <x v="211"/>
    <x v="339"/>
    <x v="0"/>
    <x v="1"/>
    <x v="11"/>
    <x v="2"/>
    <x v="2"/>
    <n v="158"/>
    <n v="316"/>
  </r>
  <r>
    <n v="341"/>
    <x v="212"/>
    <x v="340"/>
    <x v="1"/>
    <x v="0"/>
    <x v="3"/>
    <x v="4"/>
    <x v="2"/>
    <n v="324"/>
    <n v="648"/>
  </r>
  <r>
    <n v="342"/>
    <x v="50"/>
    <x v="341"/>
    <x v="1"/>
    <x v="0"/>
    <x v="24"/>
    <x v="2"/>
    <x v="2"/>
    <n v="261"/>
    <n v="522"/>
  </r>
  <r>
    <n v="343"/>
    <x v="82"/>
    <x v="342"/>
    <x v="1"/>
    <x v="1"/>
    <x v="22"/>
    <x v="0"/>
    <x v="4"/>
    <n v="375"/>
    <n v="1875"/>
  </r>
  <r>
    <n v="344"/>
    <x v="213"/>
    <x v="343"/>
    <x v="0"/>
    <x v="1"/>
    <x v="38"/>
    <x v="0"/>
    <x v="4"/>
    <n v="448"/>
    <n v="2240"/>
  </r>
  <r>
    <n v="345"/>
    <x v="34"/>
    <x v="344"/>
    <x v="3"/>
    <x v="1"/>
    <x v="14"/>
    <x v="4"/>
    <x v="4"/>
    <n v="317"/>
    <n v="1585"/>
  </r>
  <r>
    <n v="346"/>
    <x v="85"/>
    <x v="345"/>
    <x v="2"/>
    <x v="0"/>
    <x v="30"/>
    <x v="4"/>
    <x v="4"/>
    <n v="156"/>
    <n v="780"/>
  </r>
  <r>
    <n v="347"/>
    <x v="203"/>
    <x v="346"/>
    <x v="3"/>
    <x v="0"/>
    <x v="9"/>
    <x v="3"/>
    <x v="4"/>
    <n v="329"/>
    <n v="1645"/>
  </r>
  <r>
    <n v="348"/>
    <x v="214"/>
    <x v="347"/>
    <x v="1"/>
    <x v="1"/>
    <x v="28"/>
    <x v="1"/>
    <x v="3"/>
    <n v="61"/>
    <n v="61"/>
  </r>
  <r>
    <n v="349"/>
    <x v="215"/>
    <x v="348"/>
    <x v="1"/>
    <x v="0"/>
    <x v="15"/>
    <x v="3"/>
    <x v="4"/>
    <n v="366"/>
    <n v="1830"/>
  </r>
  <r>
    <n v="350"/>
    <x v="43"/>
    <x v="349"/>
    <x v="2"/>
    <x v="0"/>
    <x v="5"/>
    <x v="1"/>
    <x v="0"/>
    <n v="62"/>
    <n v="186"/>
  </r>
  <r>
    <n v="351"/>
    <x v="141"/>
    <x v="350"/>
    <x v="3"/>
    <x v="0"/>
    <x v="0"/>
    <x v="1"/>
    <x v="3"/>
    <n v="102"/>
    <n v="102"/>
  </r>
  <r>
    <n v="352"/>
    <x v="94"/>
    <x v="351"/>
    <x v="1"/>
    <x v="1"/>
    <x v="10"/>
    <x v="1"/>
    <x v="2"/>
    <n v="78"/>
    <n v="156"/>
  </r>
  <r>
    <n v="353"/>
    <x v="63"/>
    <x v="352"/>
    <x v="1"/>
    <x v="0"/>
    <x v="28"/>
    <x v="1"/>
    <x v="2"/>
    <n v="88"/>
    <n v="176"/>
  </r>
  <r>
    <n v="354"/>
    <x v="165"/>
    <x v="353"/>
    <x v="3"/>
    <x v="1"/>
    <x v="17"/>
    <x v="0"/>
    <x v="0"/>
    <n v="469"/>
    <n v="1407"/>
  </r>
  <r>
    <n v="355"/>
    <x v="216"/>
    <x v="354"/>
    <x v="1"/>
    <x v="0"/>
    <x v="22"/>
    <x v="2"/>
    <x v="1"/>
    <n v="437"/>
    <n v="1748"/>
  </r>
  <r>
    <n v="356"/>
    <x v="217"/>
    <x v="355"/>
    <x v="3"/>
    <x v="1"/>
    <x v="11"/>
    <x v="1"/>
    <x v="1"/>
    <n v="266"/>
    <n v="1064"/>
  </r>
  <r>
    <n v="357"/>
    <x v="218"/>
    <x v="356"/>
    <x v="1"/>
    <x v="1"/>
    <x v="31"/>
    <x v="0"/>
    <x v="0"/>
    <n v="481"/>
    <n v="1443"/>
  </r>
  <r>
    <n v="358"/>
    <x v="198"/>
    <x v="357"/>
    <x v="3"/>
    <x v="0"/>
    <x v="22"/>
    <x v="3"/>
    <x v="3"/>
    <n v="455"/>
    <n v="455"/>
  </r>
  <r>
    <n v="359"/>
    <x v="219"/>
    <x v="358"/>
    <x v="2"/>
    <x v="1"/>
    <x v="37"/>
    <x v="3"/>
    <x v="3"/>
    <n v="182"/>
    <n v="182"/>
  </r>
  <r>
    <n v="360"/>
    <x v="99"/>
    <x v="359"/>
    <x v="1"/>
    <x v="0"/>
    <x v="8"/>
    <x v="4"/>
    <x v="2"/>
    <n v="312"/>
    <n v="624"/>
  </r>
  <r>
    <n v="361"/>
    <x v="151"/>
    <x v="360"/>
    <x v="2"/>
    <x v="1"/>
    <x v="42"/>
    <x v="3"/>
    <x v="1"/>
    <n v="364"/>
    <n v="1456"/>
  </r>
  <r>
    <n v="362"/>
    <x v="84"/>
    <x v="361"/>
    <x v="1"/>
    <x v="0"/>
    <x v="15"/>
    <x v="1"/>
    <x v="2"/>
    <n v="286"/>
    <n v="572"/>
  </r>
  <r>
    <n v="363"/>
    <x v="199"/>
    <x v="362"/>
    <x v="1"/>
    <x v="0"/>
    <x v="16"/>
    <x v="4"/>
    <x v="1"/>
    <n v="110"/>
    <n v="440"/>
  </r>
  <r>
    <n v="364"/>
    <x v="135"/>
    <x v="363"/>
    <x v="0"/>
    <x v="0"/>
    <x v="4"/>
    <x v="2"/>
    <x v="0"/>
    <n v="39"/>
    <n v="117"/>
  </r>
  <r>
    <n v="365"/>
    <x v="133"/>
    <x v="364"/>
    <x v="3"/>
    <x v="1"/>
    <x v="7"/>
    <x v="2"/>
    <x v="2"/>
    <n v="157"/>
    <n v="314"/>
  </r>
  <r>
    <n v="366"/>
    <x v="112"/>
    <x v="365"/>
    <x v="2"/>
    <x v="1"/>
    <x v="11"/>
    <x v="1"/>
    <x v="1"/>
    <n v="284"/>
    <n v="1136"/>
  </r>
  <r>
    <n v="367"/>
    <x v="130"/>
    <x v="366"/>
    <x v="2"/>
    <x v="1"/>
    <x v="38"/>
    <x v="2"/>
    <x v="4"/>
    <n v="443"/>
    <n v="2215"/>
  </r>
  <r>
    <n v="368"/>
    <x v="220"/>
    <x v="367"/>
    <x v="2"/>
    <x v="0"/>
    <x v="32"/>
    <x v="2"/>
    <x v="0"/>
    <n v="29"/>
    <n v="87"/>
  </r>
  <r>
    <n v="369"/>
    <x v="125"/>
    <x v="368"/>
    <x v="3"/>
    <x v="1"/>
    <x v="28"/>
    <x v="3"/>
    <x v="3"/>
    <n v="262"/>
    <n v="262"/>
  </r>
  <r>
    <n v="370"/>
    <x v="75"/>
    <x v="369"/>
    <x v="0"/>
    <x v="0"/>
    <x v="7"/>
    <x v="0"/>
    <x v="4"/>
    <n v="162"/>
    <n v="810"/>
  </r>
  <r>
    <n v="371"/>
    <x v="221"/>
    <x v="370"/>
    <x v="2"/>
    <x v="0"/>
    <x v="14"/>
    <x v="0"/>
    <x v="0"/>
    <n v="32"/>
    <n v="96"/>
  </r>
  <r>
    <n v="372"/>
    <x v="75"/>
    <x v="371"/>
    <x v="3"/>
    <x v="0"/>
    <x v="42"/>
    <x v="4"/>
    <x v="2"/>
    <n v="259"/>
    <n v="518"/>
  </r>
  <r>
    <n v="373"/>
    <x v="58"/>
    <x v="372"/>
    <x v="1"/>
    <x v="1"/>
    <x v="30"/>
    <x v="3"/>
    <x v="0"/>
    <n v="431"/>
    <n v="1293"/>
  </r>
  <r>
    <n v="374"/>
    <x v="222"/>
    <x v="373"/>
    <x v="2"/>
    <x v="0"/>
    <x v="35"/>
    <x v="0"/>
    <x v="4"/>
    <n v="366"/>
    <n v="1830"/>
  </r>
  <r>
    <n v="375"/>
    <x v="33"/>
    <x v="374"/>
    <x v="2"/>
    <x v="1"/>
    <x v="20"/>
    <x v="3"/>
    <x v="0"/>
    <n v="299"/>
    <n v="897"/>
  </r>
  <r>
    <n v="376"/>
    <x v="223"/>
    <x v="375"/>
    <x v="0"/>
    <x v="1"/>
    <x v="5"/>
    <x v="3"/>
    <x v="2"/>
    <n v="310"/>
    <n v="620"/>
  </r>
  <r>
    <n v="377"/>
    <x v="141"/>
    <x v="376"/>
    <x v="2"/>
    <x v="0"/>
    <x v="27"/>
    <x v="4"/>
    <x v="3"/>
    <n v="291"/>
    <n v="291"/>
  </r>
  <r>
    <n v="378"/>
    <x v="117"/>
    <x v="377"/>
    <x v="2"/>
    <x v="1"/>
    <x v="29"/>
    <x v="2"/>
    <x v="1"/>
    <n v="277"/>
    <n v="1108"/>
  </r>
  <r>
    <n v="379"/>
    <x v="224"/>
    <x v="378"/>
    <x v="1"/>
    <x v="1"/>
    <x v="26"/>
    <x v="0"/>
    <x v="4"/>
    <n v="166"/>
    <n v="830"/>
  </r>
  <r>
    <n v="380"/>
    <x v="15"/>
    <x v="379"/>
    <x v="3"/>
    <x v="1"/>
    <x v="33"/>
    <x v="4"/>
    <x v="2"/>
    <n v="74"/>
    <n v="148"/>
  </r>
  <r>
    <n v="381"/>
    <x v="190"/>
    <x v="380"/>
    <x v="3"/>
    <x v="0"/>
    <x v="23"/>
    <x v="4"/>
    <x v="1"/>
    <n v="60"/>
    <n v="240"/>
  </r>
  <r>
    <n v="382"/>
    <x v="99"/>
    <x v="381"/>
    <x v="0"/>
    <x v="0"/>
    <x v="16"/>
    <x v="1"/>
    <x v="4"/>
    <n v="387"/>
    <n v="1935"/>
  </r>
  <r>
    <n v="383"/>
    <x v="192"/>
    <x v="382"/>
    <x v="1"/>
    <x v="0"/>
    <x v="33"/>
    <x v="3"/>
    <x v="3"/>
    <n v="25"/>
    <n v="25"/>
  </r>
  <r>
    <n v="384"/>
    <x v="3"/>
    <x v="383"/>
    <x v="3"/>
    <x v="1"/>
    <x v="25"/>
    <x v="1"/>
    <x v="0"/>
    <n v="73"/>
    <n v="219"/>
  </r>
  <r>
    <n v="385"/>
    <x v="101"/>
    <x v="384"/>
    <x v="1"/>
    <x v="1"/>
    <x v="22"/>
    <x v="2"/>
    <x v="4"/>
    <n v="467"/>
    <n v="2335"/>
  </r>
  <r>
    <n v="386"/>
    <x v="225"/>
    <x v="385"/>
    <x v="3"/>
    <x v="0"/>
    <x v="18"/>
    <x v="1"/>
    <x v="3"/>
    <n v="286"/>
    <n v="286"/>
  </r>
  <r>
    <n v="387"/>
    <x v="128"/>
    <x v="386"/>
    <x v="1"/>
    <x v="1"/>
    <x v="30"/>
    <x v="4"/>
    <x v="2"/>
    <n v="443"/>
    <n v="886"/>
  </r>
  <r>
    <n v="388"/>
    <x v="217"/>
    <x v="387"/>
    <x v="0"/>
    <x v="1"/>
    <x v="14"/>
    <x v="3"/>
    <x v="3"/>
    <n v="48"/>
    <n v="48"/>
  </r>
  <r>
    <n v="389"/>
    <x v="174"/>
    <x v="388"/>
    <x v="2"/>
    <x v="0"/>
    <x v="31"/>
    <x v="0"/>
    <x v="4"/>
    <n v="397"/>
    <n v="1985"/>
  </r>
  <r>
    <n v="390"/>
    <x v="38"/>
    <x v="389"/>
    <x v="0"/>
    <x v="1"/>
    <x v="9"/>
    <x v="0"/>
    <x v="2"/>
    <n v="118"/>
    <n v="236"/>
  </r>
  <r>
    <n v="391"/>
    <x v="91"/>
    <x v="390"/>
    <x v="3"/>
    <x v="1"/>
    <x v="23"/>
    <x v="2"/>
    <x v="2"/>
    <n v="105"/>
    <n v="210"/>
  </r>
  <r>
    <n v="392"/>
    <x v="57"/>
    <x v="391"/>
    <x v="0"/>
    <x v="1"/>
    <x v="24"/>
    <x v="2"/>
    <x v="4"/>
    <n v="417"/>
    <n v="2085"/>
  </r>
  <r>
    <n v="393"/>
    <x v="47"/>
    <x v="392"/>
    <x v="2"/>
    <x v="1"/>
    <x v="16"/>
    <x v="1"/>
    <x v="0"/>
    <n v="292"/>
    <n v="876"/>
  </r>
  <r>
    <n v="394"/>
    <x v="148"/>
    <x v="393"/>
    <x v="0"/>
    <x v="0"/>
    <x v="9"/>
    <x v="1"/>
    <x v="2"/>
    <n v="158"/>
    <n v="316"/>
  </r>
  <r>
    <n v="395"/>
    <x v="90"/>
    <x v="394"/>
    <x v="3"/>
    <x v="1"/>
    <x v="32"/>
    <x v="1"/>
    <x v="2"/>
    <n v="88"/>
    <n v="176"/>
  </r>
  <r>
    <n v="396"/>
    <x v="193"/>
    <x v="395"/>
    <x v="3"/>
    <x v="1"/>
    <x v="1"/>
    <x v="3"/>
    <x v="2"/>
    <n v="178"/>
    <n v="356"/>
  </r>
  <r>
    <n v="397"/>
    <x v="17"/>
    <x v="396"/>
    <x v="0"/>
    <x v="1"/>
    <x v="10"/>
    <x v="3"/>
    <x v="4"/>
    <n v="449"/>
    <n v="2245"/>
  </r>
  <r>
    <n v="398"/>
    <x v="26"/>
    <x v="397"/>
    <x v="2"/>
    <x v="1"/>
    <x v="3"/>
    <x v="4"/>
    <x v="0"/>
    <n v="207"/>
    <n v="621"/>
  </r>
  <r>
    <n v="399"/>
    <x v="164"/>
    <x v="398"/>
    <x v="0"/>
    <x v="1"/>
    <x v="38"/>
    <x v="1"/>
    <x v="0"/>
    <n v="180"/>
    <n v="540"/>
  </r>
  <r>
    <n v="400"/>
    <x v="178"/>
    <x v="399"/>
    <x v="2"/>
    <x v="1"/>
    <x v="5"/>
    <x v="2"/>
    <x v="1"/>
    <n v="496"/>
    <n v="1984"/>
  </r>
  <r>
    <n v="401"/>
    <x v="226"/>
    <x v="400"/>
    <x v="1"/>
    <x v="0"/>
    <x v="25"/>
    <x v="3"/>
    <x v="1"/>
    <n v="308"/>
    <n v="1232"/>
  </r>
  <r>
    <n v="402"/>
    <x v="136"/>
    <x v="401"/>
    <x v="2"/>
    <x v="0"/>
    <x v="24"/>
    <x v="2"/>
    <x v="1"/>
    <n v="487"/>
    <n v="1948"/>
  </r>
  <r>
    <n v="403"/>
    <x v="227"/>
    <x v="402"/>
    <x v="1"/>
    <x v="1"/>
    <x v="14"/>
    <x v="0"/>
    <x v="0"/>
    <n v="445"/>
    <n v="1335"/>
  </r>
  <r>
    <n v="404"/>
    <x v="228"/>
    <x v="403"/>
    <x v="0"/>
    <x v="0"/>
    <x v="15"/>
    <x v="3"/>
    <x v="4"/>
    <n v="184"/>
    <n v="920"/>
  </r>
  <r>
    <n v="405"/>
    <x v="229"/>
    <x v="404"/>
    <x v="2"/>
    <x v="0"/>
    <x v="18"/>
    <x v="2"/>
    <x v="0"/>
    <n v="45"/>
    <n v="135"/>
  </r>
  <r>
    <n v="406"/>
    <x v="230"/>
    <x v="405"/>
    <x v="1"/>
    <x v="0"/>
    <x v="10"/>
    <x v="3"/>
    <x v="3"/>
    <n v="276"/>
    <n v="276"/>
  </r>
  <r>
    <n v="407"/>
    <x v="231"/>
    <x v="406"/>
    <x v="1"/>
    <x v="1"/>
    <x v="38"/>
    <x v="1"/>
    <x v="3"/>
    <n v="438"/>
    <n v="438"/>
  </r>
  <r>
    <n v="408"/>
    <x v="195"/>
    <x v="407"/>
    <x v="1"/>
    <x v="0"/>
    <x v="29"/>
    <x v="0"/>
    <x v="0"/>
    <n v="283"/>
    <n v="849"/>
  </r>
  <r>
    <n v="409"/>
    <x v="18"/>
    <x v="408"/>
    <x v="3"/>
    <x v="0"/>
    <x v="31"/>
    <x v="4"/>
    <x v="4"/>
    <n v="356"/>
    <n v="1780"/>
  </r>
  <r>
    <n v="410"/>
    <x v="162"/>
    <x v="409"/>
    <x v="0"/>
    <x v="0"/>
    <x v="29"/>
    <x v="1"/>
    <x v="4"/>
    <n v="499"/>
    <n v="2495"/>
  </r>
  <r>
    <n v="411"/>
    <x v="139"/>
    <x v="410"/>
    <x v="1"/>
    <x v="1"/>
    <x v="33"/>
    <x v="2"/>
    <x v="2"/>
    <n v="215"/>
    <n v="430"/>
  </r>
  <r>
    <n v="412"/>
    <x v="170"/>
    <x v="411"/>
    <x v="2"/>
    <x v="0"/>
    <x v="20"/>
    <x v="4"/>
    <x v="2"/>
    <n v="158"/>
    <n v="316"/>
  </r>
  <r>
    <n v="413"/>
    <x v="201"/>
    <x v="412"/>
    <x v="1"/>
    <x v="1"/>
    <x v="38"/>
    <x v="4"/>
    <x v="1"/>
    <n v="246"/>
    <n v="984"/>
  </r>
  <r>
    <n v="414"/>
    <x v="221"/>
    <x v="413"/>
    <x v="3"/>
    <x v="1"/>
    <x v="2"/>
    <x v="1"/>
    <x v="2"/>
    <n v="155"/>
    <n v="310"/>
  </r>
  <r>
    <n v="415"/>
    <x v="56"/>
    <x v="414"/>
    <x v="0"/>
    <x v="1"/>
    <x v="5"/>
    <x v="3"/>
    <x v="3"/>
    <n v="196"/>
    <n v="196"/>
  </r>
  <r>
    <n v="416"/>
    <x v="232"/>
    <x v="415"/>
    <x v="3"/>
    <x v="0"/>
    <x v="26"/>
    <x v="0"/>
    <x v="2"/>
    <n v="303"/>
    <n v="606"/>
  </r>
  <r>
    <n v="417"/>
    <x v="13"/>
    <x v="416"/>
    <x v="3"/>
    <x v="0"/>
    <x v="7"/>
    <x v="4"/>
    <x v="4"/>
    <n v="290"/>
    <n v="1450"/>
  </r>
  <r>
    <n v="418"/>
    <x v="125"/>
    <x v="417"/>
    <x v="3"/>
    <x v="1"/>
    <x v="33"/>
    <x v="0"/>
    <x v="1"/>
    <n v="322"/>
    <n v="1288"/>
  </r>
  <r>
    <n v="419"/>
    <x v="179"/>
    <x v="418"/>
    <x v="2"/>
    <x v="1"/>
    <x v="7"/>
    <x v="3"/>
    <x v="1"/>
    <n v="245"/>
    <n v="980"/>
  </r>
  <r>
    <n v="420"/>
    <x v="216"/>
    <x v="419"/>
    <x v="0"/>
    <x v="1"/>
    <x v="8"/>
    <x v="2"/>
    <x v="2"/>
    <n v="500"/>
    <n v="1000"/>
  </r>
  <r>
    <n v="421"/>
    <x v="35"/>
    <x v="420"/>
    <x v="0"/>
    <x v="1"/>
    <x v="36"/>
    <x v="1"/>
    <x v="4"/>
    <n v="212"/>
    <n v="1060"/>
  </r>
  <r>
    <n v="422"/>
    <x v="76"/>
    <x v="421"/>
    <x v="2"/>
    <x v="1"/>
    <x v="11"/>
    <x v="4"/>
    <x v="1"/>
    <n v="444"/>
    <n v="1776"/>
  </r>
  <r>
    <n v="423"/>
    <x v="221"/>
    <x v="422"/>
    <x v="0"/>
    <x v="0"/>
    <x v="11"/>
    <x v="2"/>
    <x v="3"/>
    <n v="400"/>
    <n v="400"/>
  </r>
  <r>
    <n v="424"/>
    <x v="131"/>
    <x v="423"/>
    <x v="3"/>
    <x v="0"/>
    <x v="25"/>
    <x v="2"/>
    <x v="4"/>
    <n v="240"/>
    <n v="1200"/>
  </r>
  <r>
    <n v="425"/>
    <x v="233"/>
    <x v="424"/>
    <x v="0"/>
    <x v="0"/>
    <x v="9"/>
    <x v="4"/>
    <x v="1"/>
    <n v="439"/>
    <n v="1756"/>
  </r>
  <r>
    <n v="426"/>
    <x v="27"/>
    <x v="425"/>
    <x v="2"/>
    <x v="1"/>
    <x v="5"/>
    <x v="3"/>
    <x v="1"/>
    <n v="122"/>
    <n v="488"/>
  </r>
  <r>
    <n v="427"/>
    <x v="234"/>
    <x v="426"/>
    <x v="3"/>
    <x v="1"/>
    <x v="9"/>
    <x v="1"/>
    <x v="2"/>
    <n v="407"/>
    <n v="814"/>
  </r>
  <r>
    <n v="428"/>
    <x v="53"/>
    <x v="427"/>
    <x v="2"/>
    <x v="0"/>
    <x v="0"/>
    <x v="0"/>
    <x v="1"/>
    <n v="325"/>
    <n v="1300"/>
  </r>
  <r>
    <n v="429"/>
    <x v="235"/>
    <x v="428"/>
    <x v="1"/>
    <x v="0"/>
    <x v="19"/>
    <x v="2"/>
    <x v="3"/>
    <n v="458"/>
    <n v="458"/>
  </r>
  <r>
    <n v="430"/>
    <x v="41"/>
    <x v="429"/>
    <x v="3"/>
    <x v="0"/>
    <x v="4"/>
    <x v="4"/>
    <x v="0"/>
    <n v="478"/>
    <n v="1434"/>
  </r>
  <r>
    <n v="431"/>
    <x v="224"/>
    <x v="430"/>
    <x v="3"/>
    <x v="1"/>
    <x v="33"/>
    <x v="3"/>
    <x v="2"/>
    <n v="155"/>
    <n v="310"/>
  </r>
  <r>
    <n v="432"/>
    <x v="226"/>
    <x v="431"/>
    <x v="0"/>
    <x v="1"/>
    <x v="10"/>
    <x v="0"/>
    <x v="1"/>
    <n v="203"/>
    <n v="812"/>
  </r>
  <r>
    <n v="433"/>
    <x v="236"/>
    <x v="432"/>
    <x v="3"/>
    <x v="1"/>
    <x v="7"/>
    <x v="1"/>
    <x v="3"/>
    <n v="371"/>
    <n v="371"/>
  </r>
  <r>
    <n v="434"/>
    <x v="65"/>
    <x v="433"/>
    <x v="2"/>
    <x v="0"/>
    <x v="1"/>
    <x v="0"/>
    <x v="2"/>
    <n v="132"/>
    <n v="264"/>
  </r>
  <r>
    <n v="435"/>
    <x v="95"/>
    <x v="434"/>
    <x v="0"/>
    <x v="0"/>
    <x v="22"/>
    <x v="4"/>
    <x v="0"/>
    <n v="474"/>
    <n v="1422"/>
  </r>
  <r>
    <n v="436"/>
    <x v="237"/>
    <x v="435"/>
    <x v="1"/>
    <x v="0"/>
    <x v="42"/>
    <x v="4"/>
    <x v="1"/>
    <n v="345"/>
    <n v="1380"/>
  </r>
  <r>
    <n v="437"/>
    <x v="238"/>
    <x v="436"/>
    <x v="2"/>
    <x v="0"/>
    <x v="24"/>
    <x v="4"/>
    <x v="1"/>
    <n v="368"/>
    <n v="1472"/>
  </r>
  <r>
    <n v="438"/>
    <x v="147"/>
    <x v="437"/>
    <x v="1"/>
    <x v="1"/>
    <x v="34"/>
    <x v="0"/>
    <x v="4"/>
    <n v="339"/>
    <n v="1695"/>
  </r>
  <r>
    <n v="439"/>
    <x v="149"/>
    <x v="438"/>
    <x v="1"/>
    <x v="1"/>
    <x v="42"/>
    <x v="4"/>
    <x v="1"/>
    <n v="251"/>
    <n v="1004"/>
  </r>
  <r>
    <n v="440"/>
    <x v="145"/>
    <x v="439"/>
    <x v="1"/>
    <x v="0"/>
    <x v="16"/>
    <x v="4"/>
    <x v="2"/>
    <n v="177"/>
    <n v="354"/>
  </r>
  <r>
    <n v="441"/>
    <x v="169"/>
    <x v="440"/>
    <x v="3"/>
    <x v="1"/>
    <x v="6"/>
    <x v="3"/>
    <x v="4"/>
    <n v="153"/>
    <n v="765"/>
  </r>
  <r>
    <n v="442"/>
    <x v="66"/>
    <x v="441"/>
    <x v="2"/>
    <x v="0"/>
    <x v="16"/>
    <x v="3"/>
    <x v="1"/>
    <n v="405"/>
    <n v="1620"/>
  </r>
  <r>
    <n v="443"/>
    <x v="38"/>
    <x v="442"/>
    <x v="2"/>
    <x v="0"/>
    <x v="34"/>
    <x v="4"/>
    <x v="2"/>
    <n v="448"/>
    <n v="896"/>
  </r>
  <r>
    <n v="444"/>
    <x v="239"/>
    <x v="443"/>
    <x v="3"/>
    <x v="1"/>
    <x v="18"/>
    <x v="0"/>
    <x v="3"/>
    <n v="471"/>
    <n v="471"/>
  </r>
  <r>
    <n v="445"/>
    <x v="240"/>
    <x v="444"/>
    <x v="0"/>
    <x v="0"/>
    <x v="21"/>
    <x v="3"/>
    <x v="3"/>
    <n v="351"/>
    <n v="351"/>
  </r>
  <r>
    <n v="446"/>
    <x v="102"/>
    <x v="445"/>
    <x v="1"/>
    <x v="0"/>
    <x v="23"/>
    <x v="3"/>
    <x v="0"/>
    <n v="487"/>
    <n v="1461"/>
  </r>
  <r>
    <n v="447"/>
    <x v="132"/>
    <x v="446"/>
    <x v="2"/>
    <x v="1"/>
    <x v="38"/>
    <x v="2"/>
    <x v="4"/>
    <n v="190"/>
    <n v="950"/>
  </r>
  <r>
    <n v="448"/>
    <x v="225"/>
    <x v="447"/>
    <x v="3"/>
    <x v="0"/>
    <x v="28"/>
    <x v="3"/>
    <x v="4"/>
    <n v="307"/>
    <n v="1535"/>
  </r>
  <r>
    <n v="449"/>
    <x v="43"/>
    <x v="448"/>
    <x v="1"/>
    <x v="0"/>
    <x v="5"/>
    <x v="2"/>
    <x v="0"/>
    <n v="284"/>
    <n v="852"/>
  </r>
  <r>
    <n v="450"/>
    <x v="167"/>
    <x v="449"/>
    <x v="0"/>
    <x v="0"/>
    <x v="18"/>
    <x v="2"/>
    <x v="0"/>
    <n v="163"/>
    <n v="489"/>
  </r>
  <r>
    <n v="451"/>
    <x v="241"/>
    <x v="450"/>
    <x v="0"/>
    <x v="1"/>
    <x v="24"/>
    <x v="0"/>
    <x v="2"/>
    <n v="281"/>
    <n v="562"/>
  </r>
  <r>
    <n v="452"/>
    <x v="122"/>
    <x v="451"/>
    <x v="1"/>
    <x v="0"/>
    <x v="38"/>
    <x v="4"/>
    <x v="3"/>
    <n v="57"/>
    <n v="57"/>
  </r>
  <r>
    <n v="453"/>
    <x v="177"/>
    <x v="452"/>
    <x v="0"/>
    <x v="1"/>
    <x v="26"/>
    <x v="4"/>
    <x v="1"/>
    <n v="65"/>
    <n v="260"/>
  </r>
  <r>
    <n v="454"/>
    <x v="51"/>
    <x v="453"/>
    <x v="2"/>
    <x v="0"/>
    <x v="15"/>
    <x v="3"/>
    <x v="1"/>
    <n v="93"/>
    <n v="372"/>
  </r>
  <r>
    <n v="455"/>
    <x v="12"/>
    <x v="454"/>
    <x v="2"/>
    <x v="0"/>
    <x v="9"/>
    <x v="2"/>
    <x v="1"/>
    <n v="95"/>
    <n v="380"/>
  </r>
  <r>
    <n v="456"/>
    <x v="242"/>
    <x v="455"/>
    <x v="2"/>
    <x v="1"/>
    <x v="17"/>
    <x v="1"/>
    <x v="4"/>
    <n v="282"/>
    <n v="1410"/>
  </r>
  <r>
    <n v="457"/>
    <x v="138"/>
    <x v="456"/>
    <x v="0"/>
    <x v="1"/>
    <x v="13"/>
    <x v="0"/>
    <x v="1"/>
    <n v="359"/>
    <n v="1436"/>
  </r>
  <r>
    <n v="458"/>
    <x v="176"/>
    <x v="457"/>
    <x v="2"/>
    <x v="1"/>
    <x v="3"/>
    <x v="1"/>
    <x v="2"/>
    <n v="306"/>
    <n v="612"/>
  </r>
  <r>
    <n v="459"/>
    <x v="94"/>
    <x v="458"/>
    <x v="3"/>
    <x v="0"/>
    <x v="28"/>
    <x v="1"/>
    <x v="3"/>
    <n v="227"/>
    <n v="227"/>
  </r>
  <r>
    <n v="460"/>
    <x v="137"/>
    <x v="459"/>
    <x v="2"/>
    <x v="0"/>
    <x v="31"/>
    <x v="0"/>
    <x v="4"/>
    <n v="244"/>
    <n v="1220"/>
  </r>
  <r>
    <n v="461"/>
    <x v="112"/>
    <x v="460"/>
    <x v="2"/>
    <x v="1"/>
    <x v="28"/>
    <x v="4"/>
    <x v="3"/>
    <n v="223"/>
    <n v="223"/>
  </r>
  <r>
    <n v="462"/>
    <x v="64"/>
    <x v="461"/>
    <x v="0"/>
    <x v="1"/>
    <x v="19"/>
    <x v="4"/>
    <x v="2"/>
    <n v="286"/>
    <n v="572"/>
  </r>
  <r>
    <n v="463"/>
    <x v="40"/>
    <x v="462"/>
    <x v="2"/>
    <x v="1"/>
    <x v="37"/>
    <x v="0"/>
    <x v="4"/>
    <n v="422"/>
    <n v="2110"/>
  </r>
  <r>
    <n v="464"/>
    <x v="243"/>
    <x v="463"/>
    <x v="1"/>
    <x v="0"/>
    <x v="38"/>
    <x v="4"/>
    <x v="3"/>
    <n v="227"/>
    <n v="227"/>
  </r>
  <r>
    <n v="465"/>
    <x v="191"/>
    <x v="464"/>
    <x v="3"/>
    <x v="1"/>
    <x v="34"/>
    <x v="0"/>
    <x v="4"/>
    <n v="315"/>
    <n v="1575"/>
  </r>
  <r>
    <n v="466"/>
    <x v="244"/>
    <x v="465"/>
    <x v="0"/>
    <x v="0"/>
    <x v="42"/>
    <x v="0"/>
    <x v="4"/>
    <n v="248"/>
    <n v="1240"/>
  </r>
  <r>
    <n v="467"/>
    <x v="28"/>
    <x v="466"/>
    <x v="3"/>
    <x v="0"/>
    <x v="34"/>
    <x v="3"/>
    <x v="0"/>
    <n v="422"/>
    <n v="1266"/>
  </r>
  <r>
    <n v="468"/>
    <x v="114"/>
    <x v="467"/>
    <x v="1"/>
    <x v="0"/>
    <x v="20"/>
    <x v="0"/>
    <x v="3"/>
    <n v="337"/>
    <n v="337"/>
  </r>
  <r>
    <n v="469"/>
    <x v="153"/>
    <x v="468"/>
    <x v="0"/>
    <x v="0"/>
    <x v="20"/>
    <x v="1"/>
    <x v="2"/>
    <n v="103"/>
    <n v="206"/>
  </r>
  <r>
    <n v="470"/>
    <x v="226"/>
    <x v="469"/>
    <x v="0"/>
    <x v="1"/>
    <x v="37"/>
    <x v="1"/>
    <x v="0"/>
    <n v="24"/>
    <n v="72"/>
  </r>
  <r>
    <n v="471"/>
    <x v="174"/>
    <x v="470"/>
    <x v="2"/>
    <x v="0"/>
    <x v="4"/>
    <x v="4"/>
    <x v="1"/>
    <n v="271"/>
    <n v="1084"/>
  </r>
  <r>
    <n v="472"/>
    <x v="245"/>
    <x v="471"/>
    <x v="3"/>
    <x v="0"/>
    <x v="13"/>
    <x v="3"/>
    <x v="3"/>
    <n v="101"/>
    <n v="101"/>
  </r>
  <r>
    <n v="473"/>
    <x v="99"/>
    <x v="472"/>
    <x v="1"/>
    <x v="1"/>
    <x v="42"/>
    <x v="4"/>
    <x v="3"/>
    <n v="396"/>
    <n v="396"/>
  </r>
  <r>
    <n v="474"/>
    <x v="58"/>
    <x v="473"/>
    <x v="1"/>
    <x v="0"/>
    <x v="24"/>
    <x v="4"/>
    <x v="2"/>
    <n v="102"/>
    <n v="204"/>
  </r>
  <r>
    <n v="475"/>
    <x v="246"/>
    <x v="474"/>
    <x v="0"/>
    <x v="0"/>
    <x v="33"/>
    <x v="1"/>
    <x v="0"/>
    <n v="139"/>
    <n v="417"/>
  </r>
  <r>
    <n v="476"/>
    <x v="38"/>
    <x v="475"/>
    <x v="2"/>
    <x v="0"/>
    <x v="22"/>
    <x v="3"/>
    <x v="0"/>
    <n v="52"/>
    <n v="156"/>
  </r>
  <r>
    <n v="477"/>
    <x v="247"/>
    <x v="476"/>
    <x v="0"/>
    <x v="1"/>
    <x v="29"/>
    <x v="0"/>
    <x v="0"/>
    <n v="178"/>
    <n v="534"/>
  </r>
  <r>
    <n v="478"/>
    <x v="92"/>
    <x v="477"/>
    <x v="0"/>
    <x v="0"/>
    <x v="18"/>
    <x v="3"/>
    <x v="1"/>
    <n v="407"/>
    <n v="1628"/>
  </r>
  <r>
    <n v="479"/>
    <x v="216"/>
    <x v="478"/>
    <x v="0"/>
    <x v="0"/>
    <x v="0"/>
    <x v="2"/>
    <x v="3"/>
    <n v="495"/>
    <n v="495"/>
  </r>
  <r>
    <n v="480"/>
    <x v="248"/>
    <x v="479"/>
    <x v="0"/>
    <x v="0"/>
    <x v="36"/>
    <x v="2"/>
    <x v="3"/>
    <n v="276"/>
    <n v="276"/>
  </r>
  <r>
    <n v="481"/>
    <x v="71"/>
    <x v="480"/>
    <x v="1"/>
    <x v="1"/>
    <x v="34"/>
    <x v="1"/>
    <x v="4"/>
    <n v="459"/>
    <n v="2295"/>
  </r>
  <r>
    <n v="482"/>
    <x v="249"/>
    <x v="481"/>
    <x v="1"/>
    <x v="1"/>
    <x v="25"/>
    <x v="2"/>
    <x v="3"/>
    <n v="183"/>
    <n v="183"/>
  </r>
  <r>
    <n v="483"/>
    <x v="172"/>
    <x v="482"/>
    <x v="0"/>
    <x v="1"/>
    <x v="25"/>
    <x v="1"/>
    <x v="2"/>
    <n v="38"/>
    <n v="76"/>
  </r>
  <r>
    <n v="484"/>
    <x v="250"/>
    <x v="483"/>
    <x v="0"/>
    <x v="0"/>
    <x v="30"/>
    <x v="4"/>
    <x v="4"/>
    <n v="463"/>
    <n v="2315"/>
  </r>
  <r>
    <n v="485"/>
    <x v="115"/>
    <x v="484"/>
    <x v="2"/>
    <x v="1"/>
    <x v="31"/>
    <x v="4"/>
    <x v="3"/>
    <n v="340"/>
    <n v="340"/>
  </r>
  <r>
    <n v="486"/>
    <x v="49"/>
    <x v="485"/>
    <x v="0"/>
    <x v="1"/>
    <x v="42"/>
    <x v="2"/>
    <x v="1"/>
    <n v="42"/>
    <n v="168"/>
  </r>
  <r>
    <n v="487"/>
    <x v="251"/>
    <x v="486"/>
    <x v="1"/>
    <x v="0"/>
    <x v="11"/>
    <x v="4"/>
    <x v="3"/>
    <n v="138"/>
    <n v="138"/>
  </r>
  <r>
    <n v="488"/>
    <x v="3"/>
    <x v="487"/>
    <x v="3"/>
    <x v="1"/>
    <x v="11"/>
    <x v="0"/>
    <x v="1"/>
    <n v="74"/>
    <n v="296"/>
  </r>
  <r>
    <n v="489"/>
    <x v="252"/>
    <x v="488"/>
    <x v="1"/>
    <x v="0"/>
    <x v="5"/>
    <x v="3"/>
    <x v="2"/>
    <n v="198"/>
    <n v="396"/>
  </r>
  <r>
    <n v="490"/>
    <x v="27"/>
    <x v="489"/>
    <x v="2"/>
    <x v="1"/>
    <x v="29"/>
    <x v="0"/>
    <x v="4"/>
    <n v="377"/>
    <n v="1885"/>
  </r>
  <r>
    <n v="491"/>
    <x v="229"/>
    <x v="490"/>
    <x v="1"/>
    <x v="1"/>
    <x v="26"/>
    <x v="1"/>
    <x v="4"/>
    <n v="442"/>
    <n v="2210"/>
  </r>
  <r>
    <n v="492"/>
    <x v="249"/>
    <x v="491"/>
    <x v="3"/>
    <x v="1"/>
    <x v="31"/>
    <x v="0"/>
    <x v="4"/>
    <n v="318"/>
    <n v="1590"/>
  </r>
  <r>
    <n v="493"/>
    <x v="253"/>
    <x v="492"/>
    <x v="0"/>
    <x v="1"/>
    <x v="39"/>
    <x v="4"/>
    <x v="3"/>
    <n v="20"/>
    <n v="20"/>
  </r>
  <r>
    <n v="494"/>
    <x v="254"/>
    <x v="493"/>
    <x v="3"/>
    <x v="0"/>
    <x v="6"/>
    <x v="3"/>
    <x v="4"/>
    <n v="206"/>
    <n v="1030"/>
  </r>
  <r>
    <n v="495"/>
    <x v="130"/>
    <x v="494"/>
    <x v="0"/>
    <x v="1"/>
    <x v="28"/>
    <x v="4"/>
    <x v="1"/>
    <n v="135"/>
    <n v="540"/>
  </r>
  <r>
    <n v="496"/>
    <x v="105"/>
    <x v="495"/>
    <x v="0"/>
    <x v="0"/>
    <x v="1"/>
    <x v="2"/>
    <x v="1"/>
    <n v="329"/>
    <n v="1316"/>
  </r>
  <r>
    <n v="497"/>
    <x v="255"/>
    <x v="496"/>
    <x v="1"/>
    <x v="0"/>
    <x v="4"/>
    <x v="2"/>
    <x v="0"/>
    <n v="478"/>
    <n v="1434"/>
  </r>
  <r>
    <n v="498"/>
    <x v="256"/>
    <x v="497"/>
    <x v="1"/>
    <x v="0"/>
    <x v="26"/>
    <x v="1"/>
    <x v="1"/>
    <n v="345"/>
    <n v="1380"/>
  </r>
  <r>
    <n v="499"/>
    <x v="18"/>
    <x v="498"/>
    <x v="1"/>
    <x v="0"/>
    <x v="8"/>
    <x v="4"/>
    <x v="4"/>
    <n v="302"/>
    <n v="1510"/>
  </r>
  <r>
    <n v="500"/>
    <x v="16"/>
    <x v="499"/>
    <x v="2"/>
    <x v="0"/>
    <x v="29"/>
    <x v="4"/>
    <x v="1"/>
    <n v="44"/>
    <n v="176"/>
  </r>
  <r>
    <n v="501"/>
    <x v="195"/>
    <x v="500"/>
    <x v="1"/>
    <x v="0"/>
    <x v="10"/>
    <x v="3"/>
    <x v="3"/>
    <n v="288"/>
    <n v="288"/>
  </r>
  <r>
    <n v="502"/>
    <x v="257"/>
    <x v="501"/>
    <x v="2"/>
    <x v="1"/>
    <x v="5"/>
    <x v="2"/>
    <x v="1"/>
    <n v="368"/>
    <n v="1472"/>
  </r>
  <r>
    <n v="503"/>
    <x v="93"/>
    <x v="502"/>
    <x v="1"/>
    <x v="0"/>
    <x v="33"/>
    <x v="2"/>
    <x v="1"/>
    <n v="310"/>
    <n v="1240"/>
  </r>
  <r>
    <n v="504"/>
    <x v="258"/>
    <x v="503"/>
    <x v="0"/>
    <x v="0"/>
    <x v="26"/>
    <x v="2"/>
    <x v="0"/>
    <n v="418"/>
    <n v="1254"/>
  </r>
  <r>
    <n v="505"/>
    <x v="259"/>
    <x v="504"/>
    <x v="2"/>
    <x v="1"/>
    <x v="5"/>
    <x v="2"/>
    <x v="1"/>
    <n v="354"/>
    <n v="1416"/>
  </r>
  <r>
    <n v="506"/>
    <x v="260"/>
    <x v="505"/>
    <x v="3"/>
    <x v="1"/>
    <x v="24"/>
    <x v="1"/>
    <x v="2"/>
    <n v="27"/>
    <n v="54"/>
  </r>
  <r>
    <n v="507"/>
    <x v="50"/>
    <x v="506"/>
    <x v="2"/>
    <x v="1"/>
    <x v="23"/>
    <x v="3"/>
    <x v="4"/>
    <n v="182"/>
    <n v="910"/>
  </r>
  <r>
    <n v="508"/>
    <x v="42"/>
    <x v="507"/>
    <x v="2"/>
    <x v="1"/>
    <x v="24"/>
    <x v="3"/>
    <x v="2"/>
    <n v="88"/>
    <n v="176"/>
  </r>
  <r>
    <n v="509"/>
    <x v="14"/>
    <x v="508"/>
    <x v="3"/>
    <x v="1"/>
    <x v="8"/>
    <x v="4"/>
    <x v="3"/>
    <n v="182"/>
    <n v="182"/>
  </r>
  <r>
    <n v="510"/>
    <x v="261"/>
    <x v="509"/>
    <x v="2"/>
    <x v="1"/>
    <x v="1"/>
    <x v="0"/>
    <x v="2"/>
    <n v="349"/>
    <n v="698"/>
  </r>
  <r>
    <n v="511"/>
    <x v="262"/>
    <x v="510"/>
    <x v="0"/>
    <x v="0"/>
    <x v="28"/>
    <x v="1"/>
    <x v="4"/>
    <n v="133"/>
    <n v="665"/>
  </r>
  <r>
    <n v="512"/>
    <x v="92"/>
    <x v="511"/>
    <x v="1"/>
    <x v="1"/>
    <x v="18"/>
    <x v="3"/>
    <x v="4"/>
    <n v="74"/>
    <n v="370"/>
  </r>
  <r>
    <n v="513"/>
    <x v="242"/>
    <x v="512"/>
    <x v="3"/>
    <x v="0"/>
    <x v="22"/>
    <x v="1"/>
    <x v="0"/>
    <n v="101"/>
    <n v="303"/>
  </r>
  <r>
    <n v="514"/>
    <x v="66"/>
    <x v="513"/>
    <x v="1"/>
    <x v="0"/>
    <x v="29"/>
    <x v="3"/>
    <x v="3"/>
    <n v="317"/>
    <n v="317"/>
  </r>
  <r>
    <n v="515"/>
    <x v="263"/>
    <x v="514"/>
    <x v="0"/>
    <x v="1"/>
    <x v="33"/>
    <x v="0"/>
    <x v="2"/>
    <n v="249"/>
    <n v="498"/>
  </r>
  <r>
    <n v="516"/>
    <x v="129"/>
    <x v="515"/>
    <x v="3"/>
    <x v="0"/>
    <x v="42"/>
    <x v="1"/>
    <x v="4"/>
    <n v="52"/>
    <n v="260"/>
  </r>
  <r>
    <n v="517"/>
    <x v="263"/>
    <x v="516"/>
    <x v="1"/>
    <x v="0"/>
    <x v="33"/>
    <x v="3"/>
    <x v="4"/>
    <n v="201"/>
    <n v="1005"/>
  </r>
  <r>
    <n v="518"/>
    <x v="213"/>
    <x v="517"/>
    <x v="1"/>
    <x v="0"/>
    <x v="15"/>
    <x v="1"/>
    <x v="4"/>
    <n v="292"/>
    <n v="1460"/>
  </r>
  <r>
    <n v="519"/>
    <x v="51"/>
    <x v="518"/>
    <x v="0"/>
    <x v="0"/>
    <x v="40"/>
    <x v="2"/>
    <x v="4"/>
    <n v="382"/>
    <n v="1910"/>
  </r>
  <r>
    <n v="520"/>
    <x v="264"/>
    <x v="519"/>
    <x v="1"/>
    <x v="0"/>
    <x v="8"/>
    <x v="0"/>
    <x v="0"/>
    <n v="171"/>
    <n v="513"/>
  </r>
  <r>
    <n v="521"/>
    <x v="136"/>
    <x v="520"/>
    <x v="0"/>
    <x v="1"/>
    <x v="6"/>
    <x v="0"/>
    <x v="4"/>
    <n v="59"/>
    <n v="295"/>
  </r>
  <r>
    <n v="522"/>
    <x v="220"/>
    <x v="521"/>
    <x v="2"/>
    <x v="1"/>
    <x v="20"/>
    <x v="3"/>
    <x v="3"/>
    <n v="61"/>
    <n v="61"/>
  </r>
  <r>
    <n v="523"/>
    <x v="265"/>
    <x v="522"/>
    <x v="0"/>
    <x v="0"/>
    <x v="20"/>
    <x v="0"/>
    <x v="3"/>
    <n v="412"/>
    <n v="412"/>
  </r>
  <r>
    <n v="524"/>
    <x v="266"/>
    <x v="523"/>
    <x v="2"/>
    <x v="1"/>
    <x v="41"/>
    <x v="0"/>
    <x v="2"/>
    <n v="438"/>
    <n v="876"/>
  </r>
  <r>
    <n v="525"/>
    <x v="199"/>
    <x v="524"/>
    <x v="3"/>
    <x v="0"/>
    <x v="11"/>
    <x v="2"/>
    <x v="0"/>
    <n v="277"/>
    <n v="831"/>
  </r>
  <r>
    <n v="526"/>
    <x v="267"/>
    <x v="525"/>
    <x v="1"/>
    <x v="0"/>
    <x v="6"/>
    <x v="2"/>
    <x v="1"/>
    <n v="167"/>
    <n v="668"/>
  </r>
  <r>
    <n v="527"/>
    <x v="268"/>
    <x v="526"/>
    <x v="0"/>
    <x v="1"/>
    <x v="7"/>
    <x v="2"/>
    <x v="3"/>
    <n v="356"/>
    <n v="356"/>
  </r>
  <r>
    <n v="528"/>
    <x v="14"/>
    <x v="527"/>
    <x v="0"/>
    <x v="1"/>
    <x v="16"/>
    <x v="1"/>
    <x v="1"/>
    <n v="359"/>
    <n v="1436"/>
  </r>
  <r>
    <n v="529"/>
    <x v="243"/>
    <x v="528"/>
    <x v="1"/>
    <x v="0"/>
    <x v="9"/>
    <x v="2"/>
    <x v="0"/>
    <n v="473"/>
    <n v="1419"/>
  </r>
  <r>
    <n v="530"/>
    <x v="78"/>
    <x v="529"/>
    <x v="1"/>
    <x v="0"/>
    <x v="28"/>
    <x v="2"/>
    <x v="0"/>
    <n v="412"/>
    <n v="1236"/>
  </r>
  <r>
    <n v="531"/>
    <x v="128"/>
    <x v="530"/>
    <x v="3"/>
    <x v="1"/>
    <x v="37"/>
    <x v="1"/>
    <x v="4"/>
    <n v="483"/>
    <n v="2415"/>
  </r>
  <r>
    <n v="532"/>
    <x v="204"/>
    <x v="531"/>
    <x v="3"/>
    <x v="1"/>
    <x v="4"/>
    <x v="4"/>
    <x v="1"/>
    <n v="78"/>
    <n v="312"/>
  </r>
  <r>
    <n v="533"/>
    <x v="19"/>
    <x v="532"/>
    <x v="0"/>
    <x v="0"/>
    <x v="34"/>
    <x v="0"/>
    <x v="4"/>
    <n v="425"/>
    <n v="2125"/>
  </r>
  <r>
    <n v="534"/>
    <x v="175"/>
    <x v="533"/>
    <x v="3"/>
    <x v="1"/>
    <x v="20"/>
    <x v="2"/>
    <x v="2"/>
    <n v="127"/>
    <n v="254"/>
  </r>
  <r>
    <n v="535"/>
    <x v="15"/>
    <x v="534"/>
    <x v="2"/>
    <x v="1"/>
    <x v="35"/>
    <x v="0"/>
    <x v="3"/>
    <n v="279"/>
    <n v="279"/>
  </r>
  <r>
    <n v="536"/>
    <x v="256"/>
    <x v="535"/>
    <x v="3"/>
    <x v="0"/>
    <x v="36"/>
    <x v="0"/>
    <x v="3"/>
    <n v="201"/>
    <n v="201"/>
  </r>
  <r>
    <n v="537"/>
    <x v="137"/>
    <x v="536"/>
    <x v="3"/>
    <x v="0"/>
    <x v="10"/>
    <x v="4"/>
    <x v="0"/>
    <n v="114"/>
    <n v="342"/>
  </r>
  <r>
    <n v="538"/>
    <x v="201"/>
    <x v="537"/>
    <x v="0"/>
    <x v="0"/>
    <x v="4"/>
    <x v="1"/>
    <x v="0"/>
    <n v="176"/>
    <n v="528"/>
  </r>
  <r>
    <n v="539"/>
    <x v="231"/>
    <x v="538"/>
    <x v="2"/>
    <x v="1"/>
    <x v="6"/>
    <x v="1"/>
    <x v="1"/>
    <n v="464"/>
    <n v="1856"/>
  </r>
  <r>
    <n v="540"/>
    <x v="107"/>
    <x v="539"/>
    <x v="3"/>
    <x v="0"/>
    <x v="34"/>
    <x v="4"/>
    <x v="0"/>
    <n v="101"/>
    <n v="303"/>
  </r>
  <r>
    <n v="541"/>
    <x v="191"/>
    <x v="540"/>
    <x v="2"/>
    <x v="0"/>
    <x v="41"/>
    <x v="0"/>
    <x v="4"/>
    <n v="87"/>
    <n v="435"/>
  </r>
  <r>
    <n v="542"/>
    <x v="269"/>
    <x v="541"/>
    <x v="2"/>
    <x v="1"/>
    <x v="24"/>
    <x v="3"/>
    <x v="0"/>
    <n v="260"/>
    <n v="780"/>
  </r>
  <r>
    <n v="543"/>
    <x v="115"/>
    <x v="542"/>
    <x v="2"/>
    <x v="1"/>
    <x v="38"/>
    <x v="0"/>
    <x v="3"/>
    <n v="202"/>
    <n v="202"/>
  </r>
  <r>
    <n v="544"/>
    <x v="93"/>
    <x v="543"/>
    <x v="1"/>
    <x v="1"/>
    <x v="37"/>
    <x v="3"/>
    <x v="2"/>
    <n v="149"/>
    <n v="298"/>
  </r>
  <r>
    <n v="545"/>
    <x v="222"/>
    <x v="544"/>
    <x v="1"/>
    <x v="0"/>
    <x v="33"/>
    <x v="0"/>
    <x v="2"/>
    <n v="126"/>
    <n v="252"/>
  </r>
  <r>
    <n v="546"/>
    <x v="105"/>
    <x v="545"/>
    <x v="1"/>
    <x v="1"/>
    <x v="38"/>
    <x v="3"/>
    <x v="1"/>
    <n v="458"/>
    <n v="1832"/>
  </r>
  <r>
    <n v="547"/>
    <x v="46"/>
    <x v="546"/>
    <x v="1"/>
    <x v="1"/>
    <x v="1"/>
    <x v="2"/>
    <x v="3"/>
    <n v="492"/>
    <n v="492"/>
  </r>
  <r>
    <n v="548"/>
    <x v="85"/>
    <x v="547"/>
    <x v="0"/>
    <x v="1"/>
    <x v="38"/>
    <x v="2"/>
    <x v="0"/>
    <n v="408"/>
    <n v="1224"/>
  </r>
  <r>
    <n v="549"/>
    <x v="171"/>
    <x v="548"/>
    <x v="3"/>
    <x v="1"/>
    <x v="40"/>
    <x v="2"/>
    <x v="0"/>
    <n v="66"/>
    <n v="198"/>
  </r>
  <r>
    <n v="550"/>
    <x v="52"/>
    <x v="549"/>
    <x v="1"/>
    <x v="1"/>
    <x v="24"/>
    <x v="4"/>
    <x v="3"/>
    <n v="156"/>
    <n v="156"/>
  </r>
  <r>
    <n v="551"/>
    <x v="237"/>
    <x v="550"/>
    <x v="0"/>
    <x v="1"/>
    <x v="40"/>
    <x v="1"/>
    <x v="1"/>
    <n v="253"/>
    <n v="1012"/>
  </r>
  <r>
    <n v="552"/>
    <x v="213"/>
    <x v="551"/>
    <x v="3"/>
    <x v="0"/>
    <x v="39"/>
    <x v="1"/>
    <x v="1"/>
    <n v="186"/>
    <n v="744"/>
  </r>
  <r>
    <n v="553"/>
    <x v="122"/>
    <x v="552"/>
    <x v="1"/>
    <x v="1"/>
    <x v="1"/>
    <x v="1"/>
    <x v="2"/>
    <n v="186"/>
    <n v="372"/>
  </r>
  <r>
    <n v="554"/>
    <x v="93"/>
    <x v="553"/>
    <x v="3"/>
    <x v="0"/>
    <x v="24"/>
    <x v="0"/>
    <x v="3"/>
    <n v="456"/>
    <n v="456"/>
  </r>
  <r>
    <n v="555"/>
    <x v="270"/>
    <x v="554"/>
    <x v="1"/>
    <x v="1"/>
    <x v="11"/>
    <x v="3"/>
    <x v="1"/>
    <n v="439"/>
    <n v="1756"/>
  </r>
  <r>
    <n v="556"/>
    <x v="75"/>
    <x v="555"/>
    <x v="0"/>
    <x v="0"/>
    <x v="39"/>
    <x v="3"/>
    <x v="1"/>
    <n v="203"/>
    <n v="812"/>
  </r>
  <r>
    <n v="557"/>
    <x v="0"/>
    <x v="556"/>
    <x v="2"/>
    <x v="1"/>
    <x v="15"/>
    <x v="4"/>
    <x v="1"/>
    <n v="77"/>
    <n v="308"/>
  </r>
  <r>
    <n v="558"/>
    <x v="63"/>
    <x v="557"/>
    <x v="2"/>
    <x v="1"/>
    <x v="28"/>
    <x v="1"/>
    <x v="1"/>
    <n v="273"/>
    <n v="1092"/>
  </r>
  <r>
    <n v="559"/>
    <x v="185"/>
    <x v="558"/>
    <x v="3"/>
    <x v="0"/>
    <x v="20"/>
    <x v="3"/>
    <x v="2"/>
    <n v="35"/>
    <n v="70"/>
  </r>
  <r>
    <n v="560"/>
    <x v="271"/>
    <x v="559"/>
    <x v="0"/>
    <x v="1"/>
    <x v="33"/>
    <x v="3"/>
    <x v="2"/>
    <n v="156"/>
    <n v="312"/>
  </r>
  <r>
    <n v="561"/>
    <x v="200"/>
    <x v="560"/>
    <x v="2"/>
    <x v="0"/>
    <x v="40"/>
    <x v="1"/>
    <x v="3"/>
    <n v="374"/>
    <n v="374"/>
  </r>
  <r>
    <n v="562"/>
    <x v="146"/>
    <x v="561"/>
    <x v="1"/>
    <x v="0"/>
    <x v="9"/>
    <x v="0"/>
    <x v="1"/>
    <n v="154"/>
    <n v="616"/>
  </r>
  <r>
    <n v="563"/>
    <x v="98"/>
    <x v="562"/>
    <x v="2"/>
    <x v="0"/>
    <x v="6"/>
    <x v="1"/>
    <x v="3"/>
    <n v="284"/>
    <n v="284"/>
  </r>
  <r>
    <n v="564"/>
    <x v="231"/>
    <x v="563"/>
    <x v="3"/>
    <x v="0"/>
    <x v="9"/>
    <x v="4"/>
    <x v="4"/>
    <n v="276"/>
    <n v="1380"/>
  </r>
  <r>
    <n v="565"/>
    <x v="190"/>
    <x v="564"/>
    <x v="3"/>
    <x v="0"/>
    <x v="40"/>
    <x v="1"/>
    <x v="0"/>
    <n v="180"/>
    <n v="540"/>
  </r>
  <r>
    <n v="566"/>
    <x v="56"/>
    <x v="565"/>
    <x v="0"/>
    <x v="1"/>
    <x v="18"/>
    <x v="4"/>
    <x v="1"/>
    <n v="142"/>
    <n v="568"/>
  </r>
  <r>
    <n v="567"/>
    <x v="68"/>
    <x v="566"/>
    <x v="3"/>
    <x v="1"/>
    <x v="30"/>
    <x v="0"/>
    <x v="0"/>
    <n v="220"/>
    <n v="660"/>
  </r>
  <r>
    <n v="568"/>
    <x v="272"/>
    <x v="567"/>
    <x v="2"/>
    <x v="0"/>
    <x v="4"/>
    <x v="4"/>
    <x v="0"/>
    <n v="78"/>
    <n v="234"/>
  </r>
  <r>
    <n v="569"/>
    <x v="213"/>
    <x v="568"/>
    <x v="2"/>
    <x v="1"/>
    <x v="14"/>
    <x v="1"/>
    <x v="0"/>
    <n v="372"/>
    <n v="1116"/>
  </r>
  <r>
    <n v="570"/>
    <x v="179"/>
    <x v="569"/>
    <x v="2"/>
    <x v="1"/>
    <x v="19"/>
    <x v="2"/>
    <x v="4"/>
    <n v="263"/>
    <n v="1315"/>
  </r>
  <r>
    <n v="571"/>
    <x v="73"/>
    <x v="570"/>
    <x v="2"/>
    <x v="1"/>
    <x v="35"/>
    <x v="3"/>
    <x v="3"/>
    <n v="367"/>
    <n v="367"/>
  </r>
  <r>
    <n v="572"/>
    <x v="137"/>
    <x v="571"/>
    <x v="0"/>
    <x v="0"/>
    <x v="15"/>
    <x v="2"/>
    <x v="1"/>
    <n v="188"/>
    <n v="752"/>
  </r>
  <r>
    <n v="573"/>
    <x v="253"/>
    <x v="572"/>
    <x v="1"/>
    <x v="0"/>
    <x v="36"/>
    <x v="0"/>
    <x v="3"/>
    <n v="32"/>
    <n v="32"/>
  </r>
  <r>
    <n v="574"/>
    <x v="265"/>
    <x v="573"/>
    <x v="1"/>
    <x v="1"/>
    <x v="35"/>
    <x v="2"/>
    <x v="0"/>
    <n v="27"/>
    <n v="81"/>
  </r>
  <r>
    <n v="575"/>
    <x v="77"/>
    <x v="574"/>
    <x v="0"/>
    <x v="1"/>
    <x v="6"/>
    <x v="4"/>
    <x v="2"/>
    <n v="188"/>
    <n v="376"/>
  </r>
  <r>
    <n v="576"/>
    <x v="172"/>
    <x v="575"/>
    <x v="3"/>
    <x v="0"/>
    <x v="2"/>
    <x v="3"/>
    <x v="0"/>
    <n v="442"/>
    <n v="1326"/>
  </r>
  <r>
    <n v="577"/>
    <x v="164"/>
    <x v="576"/>
    <x v="1"/>
    <x v="0"/>
    <x v="26"/>
    <x v="2"/>
    <x v="1"/>
    <n v="105"/>
    <n v="420"/>
  </r>
  <r>
    <n v="578"/>
    <x v="237"/>
    <x v="577"/>
    <x v="3"/>
    <x v="0"/>
    <x v="2"/>
    <x v="0"/>
    <x v="4"/>
    <n v="335"/>
    <n v="1675"/>
  </r>
  <r>
    <n v="579"/>
    <x v="30"/>
    <x v="578"/>
    <x v="1"/>
    <x v="1"/>
    <x v="4"/>
    <x v="0"/>
    <x v="1"/>
    <n v="257"/>
    <n v="1028"/>
  </r>
  <r>
    <n v="580"/>
    <x v="83"/>
    <x v="579"/>
    <x v="3"/>
    <x v="0"/>
    <x v="23"/>
    <x v="3"/>
    <x v="2"/>
    <n v="230"/>
    <n v="460"/>
  </r>
  <r>
    <n v="581"/>
    <x v="37"/>
    <x v="580"/>
    <x v="0"/>
    <x v="1"/>
    <x v="20"/>
    <x v="0"/>
    <x v="0"/>
    <n v="279"/>
    <n v="837"/>
  </r>
  <r>
    <n v="582"/>
    <x v="136"/>
    <x v="581"/>
    <x v="2"/>
    <x v="0"/>
    <x v="0"/>
    <x v="4"/>
    <x v="4"/>
    <n v="367"/>
    <n v="1835"/>
  </r>
  <r>
    <n v="583"/>
    <x v="125"/>
    <x v="582"/>
    <x v="3"/>
    <x v="0"/>
    <x v="3"/>
    <x v="0"/>
    <x v="3"/>
    <n v="241"/>
    <n v="241"/>
  </r>
  <r>
    <n v="584"/>
    <x v="188"/>
    <x v="583"/>
    <x v="2"/>
    <x v="0"/>
    <x v="29"/>
    <x v="3"/>
    <x v="3"/>
    <n v="155"/>
    <n v="155"/>
  </r>
  <r>
    <n v="585"/>
    <x v="213"/>
    <x v="584"/>
    <x v="3"/>
    <x v="1"/>
    <x v="15"/>
    <x v="1"/>
    <x v="1"/>
    <n v="184"/>
    <n v="736"/>
  </r>
  <r>
    <n v="586"/>
    <x v="194"/>
    <x v="585"/>
    <x v="3"/>
    <x v="0"/>
    <x v="20"/>
    <x v="0"/>
    <x v="4"/>
    <n v="325"/>
    <n v="1625"/>
  </r>
  <r>
    <n v="587"/>
    <x v="7"/>
    <x v="586"/>
    <x v="3"/>
    <x v="1"/>
    <x v="36"/>
    <x v="4"/>
    <x v="0"/>
    <n v="455"/>
    <n v="1365"/>
  </r>
  <r>
    <n v="588"/>
    <x v="273"/>
    <x v="587"/>
    <x v="3"/>
    <x v="0"/>
    <x v="11"/>
    <x v="0"/>
    <x v="3"/>
    <n v="413"/>
    <n v="413"/>
  </r>
  <r>
    <n v="589"/>
    <x v="82"/>
    <x v="588"/>
    <x v="3"/>
    <x v="0"/>
    <x v="5"/>
    <x v="3"/>
    <x v="0"/>
    <n v="26"/>
    <n v="78"/>
  </r>
  <r>
    <n v="590"/>
    <x v="49"/>
    <x v="589"/>
    <x v="2"/>
    <x v="1"/>
    <x v="27"/>
    <x v="2"/>
    <x v="0"/>
    <n v="259"/>
    <n v="777"/>
  </r>
  <r>
    <n v="591"/>
    <x v="64"/>
    <x v="590"/>
    <x v="3"/>
    <x v="0"/>
    <x v="1"/>
    <x v="4"/>
    <x v="0"/>
    <n v="350"/>
    <n v="1050"/>
  </r>
  <r>
    <n v="592"/>
    <x v="140"/>
    <x v="591"/>
    <x v="2"/>
    <x v="0"/>
    <x v="25"/>
    <x v="1"/>
    <x v="1"/>
    <n v="92"/>
    <n v="368"/>
  </r>
  <r>
    <n v="593"/>
    <x v="18"/>
    <x v="592"/>
    <x v="0"/>
    <x v="0"/>
    <x v="35"/>
    <x v="2"/>
    <x v="0"/>
    <n v="232"/>
    <n v="696"/>
  </r>
  <r>
    <n v="594"/>
    <x v="274"/>
    <x v="593"/>
    <x v="1"/>
    <x v="1"/>
    <x v="1"/>
    <x v="0"/>
    <x v="1"/>
    <n v="300"/>
    <n v="1200"/>
  </r>
  <r>
    <n v="595"/>
    <x v="66"/>
    <x v="594"/>
    <x v="3"/>
    <x v="0"/>
    <x v="16"/>
    <x v="4"/>
    <x v="2"/>
    <n v="488"/>
    <n v="976"/>
  </r>
  <r>
    <n v="596"/>
    <x v="24"/>
    <x v="595"/>
    <x v="1"/>
    <x v="1"/>
    <x v="15"/>
    <x v="4"/>
    <x v="0"/>
    <n v="232"/>
    <n v="696"/>
  </r>
  <r>
    <n v="597"/>
    <x v="21"/>
    <x v="596"/>
    <x v="2"/>
    <x v="0"/>
    <x v="39"/>
    <x v="1"/>
    <x v="0"/>
    <n v="186"/>
    <n v="558"/>
  </r>
  <r>
    <n v="598"/>
    <x v="275"/>
    <x v="597"/>
    <x v="0"/>
    <x v="1"/>
    <x v="29"/>
    <x v="3"/>
    <x v="1"/>
    <n v="50"/>
    <n v="200"/>
  </r>
  <r>
    <n v="599"/>
    <x v="83"/>
    <x v="598"/>
    <x v="0"/>
    <x v="1"/>
    <x v="17"/>
    <x v="3"/>
    <x v="0"/>
    <n v="32"/>
    <n v="96"/>
  </r>
  <r>
    <n v="600"/>
    <x v="276"/>
    <x v="599"/>
    <x v="0"/>
    <x v="1"/>
    <x v="23"/>
    <x v="4"/>
    <x v="0"/>
    <n v="361"/>
    <n v="1083"/>
  </r>
  <r>
    <n v="601"/>
    <x v="277"/>
    <x v="600"/>
    <x v="1"/>
    <x v="0"/>
    <x v="36"/>
    <x v="3"/>
    <x v="1"/>
    <n v="420"/>
    <n v="1680"/>
  </r>
  <r>
    <n v="602"/>
    <x v="66"/>
    <x v="601"/>
    <x v="2"/>
    <x v="1"/>
    <x v="14"/>
    <x v="4"/>
    <x v="0"/>
    <n v="382"/>
    <n v="1146"/>
  </r>
  <r>
    <n v="603"/>
    <x v="160"/>
    <x v="602"/>
    <x v="3"/>
    <x v="1"/>
    <x v="11"/>
    <x v="0"/>
    <x v="4"/>
    <n v="103"/>
    <n v="515"/>
  </r>
  <r>
    <n v="604"/>
    <x v="23"/>
    <x v="603"/>
    <x v="3"/>
    <x v="1"/>
    <x v="34"/>
    <x v="0"/>
    <x v="4"/>
    <n v="158"/>
    <n v="790"/>
  </r>
  <r>
    <n v="605"/>
    <x v="145"/>
    <x v="604"/>
    <x v="2"/>
    <x v="0"/>
    <x v="28"/>
    <x v="0"/>
    <x v="1"/>
    <n v="209"/>
    <n v="836"/>
  </r>
  <r>
    <n v="606"/>
    <x v="109"/>
    <x v="605"/>
    <x v="1"/>
    <x v="1"/>
    <x v="27"/>
    <x v="3"/>
    <x v="3"/>
    <n v="384"/>
    <n v="384"/>
  </r>
  <r>
    <n v="607"/>
    <x v="278"/>
    <x v="606"/>
    <x v="3"/>
    <x v="0"/>
    <x v="38"/>
    <x v="2"/>
    <x v="2"/>
    <n v="430"/>
    <n v="860"/>
  </r>
  <r>
    <n v="608"/>
    <x v="59"/>
    <x v="607"/>
    <x v="2"/>
    <x v="1"/>
    <x v="29"/>
    <x v="0"/>
    <x v="1"/>
    <n v="283"/>
    <n v="1132"/>
  </r>
  <r>
    <n v="609"/>
    <x v="215"/>
    <x v="608"/>
    <x v="3"/>
    <x v="1"/>
    <x v="3"/>
    <x v="1"/>
    <x v="1"/>
    <n v="188"/>
    <n v="752"/>
  </r>
  <r>
    <n v="610"/>
    <x v="209"/>
    <x v="609"/>
    <x v="0"/>
    <x v="1"/>
    <x v="30"/>
    <x v="4"/>
    <x v="1"/>
    <n v="362"/>
    <n v="1448"/>
  </r>
  <r>
    <n v="611"/>
    <x v="52"/>
    <x v="610"/>
    <x v="3"/>
    <x v="1"/>
    <x v="1"/>
    <x v="1"/>
    <x v="1"/>
    <n v="105"/>
    <n v="420"/>
  </r>
  <r>
    <n v="612"/>
    <x v="25"/>
    <x v="611"/>
    <x v="1"/>
    <x v="1"/>
    <x v="25"/>
    <x v="4"/>
    <x v="4"/>
    <n v="225"/>
    <n v="1125"/>
  </r>
  <r>
    <n v="613"/>
    <x v="201"/>
    <x v="612"/>
    <x v="2"/>
    <x v="1"/>
    <x v="15"/>
    <x v="1"/>
    <x v="1"/>
    <n v="410"/>
    <n v="1640"/>
  </r>
  <r>
    <n v="614"/>
    <x v="224"/>
    <x v="613"/>
    <x v="1"/>
    <x v="0"/>
    <x v="6"/>
    <x v="4"/>
    <x v="1"/>
    <n v="490"/>
    <n v="1960"/>
  </r>
  <r>
    <n v="615"/>
    <x v="1"/>
    <x v="614"/>
    <x v="2"/>
    <x v="0"/>
    <x v="10"/>
    <x v="1"/>
    <x v="0"/>
    <n v="103"/>
    <n v="309"/>
  </r>
  <r>
    <n v="616"/>
    <x v="88"/>
    <x v="615"/>
    <x v="0"/>
    <x v="1"/>
    <x v="21"/>
    <x v="0"/>
    <x v="1"/>
    <n v="70"/>
    <n v="280"/>
  </r>
  <r>
    <n v="617"/>
    <x v="63"/>
    <x v="616"/>
    <x v="2"/>
    <x v="0"/>
    <x v="41"/>
    <x v="4"/>
    <x v="2"/>
    <n v="496"/>
    <n v="992"/>
  </r>
  <r>
    <n v="618"/>
    <x v="156"/>
    <x v="617"/>
    <x v="3"/>
    <x v="1"/>
    <x v="20"/>
    <x v="2"/>
    <x v="0"/>
    <n v="463"/>
    <n v="1389"/>
  </r>
  <r>
    <n v="619"/>
    <x v="119"/>
    <x v="618"/>
    <x v="3"/>
    <x v="0"/>
    <x v="5"/>
    <x v="2"/>
    <x v="3"/>
    <n v="425"/>
    <n v="425"/>
  </r>
  <r>
    <n v="620"/>
    <x v="24"/>
    <x v="619"/>
    <x v="0"/>
    <x v="1"/>
    <x v="14"/>
    <x v="1"/>
    <x v="4"/>
    <n v="250"/>
    <n v="1250"/>
  </r>
  <r>
    <n v="621"/>
    <x v="182"/>
    <x v="620"/>
    <x v="2"/>
    <x v="1"/>
    <x v="18"/>
    <x v="0"/>
    <x v="0"/>
    <n v="215"/>
    <n v="645"/>
  </r>
  <r>
    <n v="622"/>
    <x v="110"/>
    <x v="621"/>
    <x v="0"/>
    <x v="1"/>
    <x v="10"/>
    <x v="1"/>
    <x v="3"/>
    <n v="423"/>
    <n v="423"/>
  </r>
  <r>
    <n v="623"/>
    <x v="180"/>
    <x v="622"/>
    <x v="3"/>
    <x v="0"/>
    <x v="29"/>
    <x v="0"/>
    <x v="2"/>
    <n v="114"/>
    <n v="228"/>
  </r>
  <r>
    <n v="624"/>
    <x v="258"/>
    <x v="623"/>
    <x v="1"/>
    <x v="0"/>
    <x v="19"/>
    <x v="0"/>
    <x v="3"/>
    <n v="148"/>
    <n v="148"/>
  </r>
  <r>
    <n v="625"/>
    <x v="175"/>
    <x v="624"/>
    <x v="0"/>
    <x v="1"/>
    <x v="11"/>
    <x v="2"/>
    <x v="0"/>
    <n v="255"/>
    <n v="765"/>
  </r>
  <r>
    <n v="626"/>
    <x v="125"/>
    <x v="625"/>
    <x v="1"/>
    <x v="0"/>
    <x v="27"/>
    <x v="1"/>
    <x v="2"/>
    <n v="214"/>
    <n v="428"/>
  </r>
  <r>
    <n v="627"/>
    <x v="279"/>
    <x v="626"/>
    <x v="1"/>
    <x v="1"/>
    <x v="10"/>
    <x v="4"/>
    <x v="0"/>
    <n v="446"/>
    <n v="1338"/>
  </r>
  <r>
    <n v="628"/>
    <x v="153"/>
    <x v="627"/>
    <x v="2"/>
    <x v="0"/>
    <x v="8"/>
    <x v="4"/>
    <x v="3"/>
    <n v="388"/>
    <n v="388"/>
  </r>
  <r>
    <n v="629"/>
    <x v="222"/>
    <x v="628"/>
    <x v="0"/>
    <x v="1"/>
    <x v="9"/>
    <x v="0"/>
    <x v="4"/>
    <n v="328"/>
    <n v="1640"/>
  </r>
  <r>
    <n v="630"/>
    <x v="279"/>
    <x v="629"/>
    <x v="1"/>
    <x v="0"/>
    <x v="9"/>
    <x v="0"/>
    <x v="0"/>
    <n v="41"/>
    <n v="123"/>
  </r>
  <r>
    <n v="631"/>
    <x v="154"/>
    <x v="630"/>
    <x v="1"/>
    <x v="1"/>
    <x v="13"/>
    <x v="0"/>
    <x v="1"/>
    <n v="340"/>
    <n v="1360"/>
  </r>
  <r>
    <n v="632"/>
    <x v="25"/>
    <x v="631"/>
    <x v="2"/>
    <x v="1"/>
    <x v="34"/>
    <x v="2"/>
    <x v="2"/>
    <n v="99"/>
    <n v="198"/>
  </r>
  <r>
    <n v="633"/>
    <x v="233"/>
    <x v="632"/>
    <x v="2"/>
    <x v="0"/>
    <x v="30"/>
    <x v="4"/>
    <x v="4"/>
    <n v="170"/>
    <n v="850"/>
  </r>
  <r>
    <n v="634"/>
    <x v="249"/>
    <x v="633"/>
    <x v="3"/>
    <x v="1"/>
    <x v="29"/>
    <x v="4"/>
    <x v="0"/>
    <n v="348"/>
    <n v="1044"/>
  </r>
  <r>
    <n v="635"/>
    <x v="118"/>
    <x v="634"/>
    <x v="1"/>
    <x v="0"/>
    <x v="7"/>
    <x v="4"/>
    <x v="4"/>
    <n v="224"/>
    <n v="1120"/>
  </r>
  <r>
    <n v="636"/>
    <x v="280"/>
    <x v="635"/>
    <x v="3"/>
    <x v="0"/>
    <x v="0"/>
    <x v="2"/>
    <x v="3"/>
    <n v="28"/>
    <n v="28"/>
  </r>
  <r>
    <n v="637"/>
    <x v="27"/>
    <x v="636"/>
    <x v="1"/>
    <x v="0"/>
    <x v="7"/>
    <x v="0"/>
    <x v="1"/>
    <n v="317"/>
    <n v="1268"/>
  </r>
  <r>
    <n v="638"/>
    <x v="281"/>
    <x v="637"/>
    <x v="3"/>
    <x v="1"/>
    <x v="26"/>
    <x v="0"/>
    <x v="1"/>
    <n v="238"/>
    <n v="952"/>
  </r>
  <r>
    <n v="639"/>
    <x v="236"/>
    <x v="638"/>
    <x v="2"/>
    <x v="0"/>
    <x v="21"/>
    <x v="0"/>
    <x v="2"/>
    <n v="50"/>
    <n v="100"/>
  </r>
  <r>
    <n v="640"/>
    <x v="27"/>
    <x v="639"/>
    <x v="0"/>
    <x v="0"/>
    <x v="2"/>
    <x v="2"/>
    <x v="4"/>
    <n v="140"/>
    <n v="700"/>
  </r>
  <r>
    <n v="641"/>
    <x v="154"/>
    <x v="640"/>
    <x v="2"/>
    <x v="1"/>
    <x v="39"/>
    <x v="1"/>
    <x v="0"/>
    <n v="64"/>
    <n v="192"/>
  </r>
  <r>
    <n v="642"/>
    <x v="135"/>
    <x v="641"/>
    <x v="3"/>
    <x v="0"/>
    <x v="3"/>
    <x v="1"/>
    <x v="2"/>
    <n v="397"/>
    <n v="794"/>
  </r>
  <r>
    <n v="643"/>
    <x v="68"/>
    <x v="642"/>
    <x v="3"/>
    <x v="0"/>
    <x v="13"/>
    <x v="3"/>
    <x v="2"/>
    <n v="476"/>
    <n v="952"/>
  </r>
  <r>
    <n v="644"/>
    <x v="282"/>
    <x v="643"/>
    <x v="0"/>
    <x v="1"/>
    <x v="29"/>
    <x v="1"/>
    <x v="3"/>
    <n v="108"/>
    <n v="108"/>
  </r>
  <r>
    <n v="645"/>
    <x v="283"/>
    <x v="644"/>
    <x v="1"/>
    <x v="1"/>
    <x v="29"/>
    <x v="1"/>
    <x v="1"/>
    <n v="121"/>
    <n v="484"/>
  </r>
  <r>
    <n v="646"/>
    <x v="139"/>
    <x v="645"/>
    <x v="3"/>
    <x v="1"/>
    <x v="15"/>
    <x v="0"/>
    <x v="4"/>
    <n v="379"/>
    <n v="1895"/>
  </r>
  <r>
    <n v="647"/>
    <x v="284"/>
    <x v="646"/>
    <x v="3"/>
    <x v="0"/>
    <x v="38"/>
    <x v="3"/>
    <x v="0"/>
    <n v="295"/>
    <n v="885"/>
  </r>
  <r>
    <n v="648"/>
    <x v="272"/>
    <x v="647"/>
    <x v="3"/>
    <x v="0"/>
    <x v="0"/>
    <x v="0"/>
    <x v="2"/>
    <n v="160"/>
    <n v="320"/>
  </r>
  <r>
    <n v="649"/>
    <x v="143"/>
    <x v="648"/>
    <x v="0"/>
    <x v="0"/>
    <x v="18"/>
    <x v="3"/>
    <x v="3"/>
    <n v="25"/>
    <n v="25"/>
  </r>
  <r>
    <n v="650"/>
    <x v="26"/>
    <x v="649"/>
    <x v="2"/>
    <x v="0"/>
    <x v="10"/>
    <x v="4"/>
    <x v="4"/>
    <n v="317"/>
    <n v="1585"/>
  </r>
  <r>
    <n v="651"/>
    <x v="219"/>
    <x v="650"/>
    <x v="3"/>
    <x v="0"/>
    <x v="35"/>
    <x v="0"/>
    <x v="3"/>
    <n v="244"/>
    <n v="244"/>
  </r>
  <r>
    <n v="652"/>
    <x v="83"/>
    <x v="651"/>
    <x v="0"/>
    <x v="0"/>
    <x v="21"/>
    <x v="0"/>
    <x v="3"/>
    <n v="435"/>
    <n v="435"/>
  </r>
  <r>
    <n v="653"/>
    <x v="55"/>
    <x v="652"/>
    <x v="3"/>
    <x v="1"/>
    <x v="19"/>
    <x v="3"/>
    <x v="2"/>
    <n v="204"/>
    <n v="408"/>
  </r>
  <r>
    <n v="654"/>
    <x v="42"/>
    <x v="653"/>
    <x v="1"/>
    <x v="1"/>
    <x v="11"/>
    <x v="1"/>
    <x v="0"/>
    <n v="434"/>
    <n v="1302"/>
  </r>
  <r>
    <n v="655"/>
    <x v="159"/>
    <x v="654"/>
    <x v="0"/>
    <x v="0"/>
    <x v="37"/>
    <x v="1"/>
    <x v="3"/>
    <n v="127"/>
    <n v="127"/>
  </r>
  <r>
    <n v="656"/>
    <x v="158"/>
    <x v="655"/>
    <x v="3"/>
    <x v="0"/>
    <x v="3"/>
    <x v="2"/>
    <x v="3"/>
    <n v="371"/>
    <n v="371"/>
  </r>
  <r>
    <n v="657"/>
    <x v="271"/>
    <x v="656"/>
    <x v="0"/>
    <x v="1"/>
    <x v="6"/>
    <x v="3"/>
    <x v="3"/>
    <n v="360"/>
    <n v="360"/>
  </r>
  <r>
    <n v="658"/>
    <x v="285"/>
    <x v="657"/>
    <x v="3"/>
    <x v="1"/>
    <x v="14"/>
    <x v="1"/>
    <x v="3"/>
    <n v="392"/>
    <n v="392"/>
  </r>
  <r>
    <n v="659"/>
    <x v="16"/>
    <x v="658"/>
    <x v="2"/>
    <x v="1"/>
    <x v="16"/>
    <x v="4"/>
    <x v="4"/>
    <n v="366"/>
    <n v="1830"/>
  </r>
  <r>
    <n v="660"/>
    <x v="265"/>
    <x v="659"/>
    <x v="3"/>
    <x v="1"/>
    <x v="41"/>
    <x v="2"/>
    <x v="4"/>
    <n v="52"/>
    <n v="260"/>
  </r>
  <r>
    <n v="661"/>
    <x v="184"/>
    <x v="660"/>
    <x v="0"/>
    <x v="0"/>
    <x v="40"/>
    <x v="2"/>
    <x v="1"/>
    <n v="80"/>
    <n v="320"/>
  </r>
  <r>
    <n v="662"/>
    <x v="116"/>
    <x v="661"/>
    <x v="1"/>
    <x v="0"/>
    <x v="24"/>
    <x v="1"/>
    <x v="0"/>
    <n v="127"/>
    <n v="381"/>
  </r>
  <r>
    <n v="663"/>
    <x v="166"/>
    <x v="662"/>
    <x v="1"/>
    <x v="0"/>
    <x v="22"/>
    <x v="4"/>
    <x v="3"/>
    <n v="312"/>
    <n v="312"/>
  </r>
  <r>
    <n v="664"/>
    <x v="87"/>
    <x v="663"/>
    <x v="1"/>
    <x v="0"/>
    <x v="6"/>
    <x v="1"/>
    <x v="1"/>
    <n v="304"/>
    <n v="1216"/>
  </r>
  <r>
    <n v="665"/>
    <x v="179"/>
    <x v="664"/>
    <x v="3"/>
    <x v="1"/>
    <x v="29"/>
    <x v="0"/>
    <x v="4"/>
    <n v="417"/>
    <n v="2085"/>
  </r>
  <r>
    <n v="666"/>
    <x v="269"/>
    <x v="665"/>
    <x v="2"/>
    <x v="1"/>
    <x v="13"/>
    <x v="3"/>
    <x v="3"/>
    <n v="119"/>
    <n v="119"/>
  </r>
  <r>
    <n v="667"/>
    <x v="242"/>
    <x v="666"/>
    <x v="3"/>
    <x v="1"/>
    <x v="27"/>
    <x v="0"/>
    <x v="3"/>
    <n v="352"/>
    <n v="352"/>
  </r>
  <r>
    <n v="668"/>
    <x v="133"/>
    <x v="667"/>
    <x v="1"/>
    <x v="0"/>
    <x v="25"/>
    <x v="2"/>
    <x v="1"/>
    <n v="228"/>
    <n v="912"/>
  </r>
  <r>
    <n v="669"/>
    <x v="237"/>
    <x v="668"/>
    <x v="0"/>
    <x v="0"/>
    <x v="1"/>
    <x v="4"/>
    <x v="0"/>
    <n v="253"/>
    <n v="759"/>
  </r>
  <r>
    <n v="670"/>
    <x v="18"/>
    <x v="669"/>
    <x v="1"/>
    <x v="0"/>
    <x v="19"/>
    <x v="2"/>
    <x v="1"/>
    <n v="218"/>
    <n v="872"/>
  </r>
  <r>
    <n v="671"/>
    <x v="261"/>
    <x v="670"/>
    <x v="0"/>
    <x v="1"/>
    <x v="41"/>
    <x v="1"/>
    <x v="2"/>
    <n v="459"/>
    <n v="918"/>
  </r>
  <r>
    <n v="672"/>
    <x v="186"/>
    <x v="671"/>
    <x v="2"/>
    <x v="0"/>
    <x v="41"/>
    <x v="2"/>
    <x v="3"/>
    <n v="35"/>
    <n v="35"/>
  </r>
  <r>
    <n v="673"/>
    <x v="286"/>
    <x v="672"/>
    <x v="0"/>
    <x v="1"/>
    <x v="21"/>
    <x v="2"/>
    <x v="0"/>
    <n v="276"/>
    <n v="828"/>
  </r>
  <r>
    <n v="674"/>
    <x v="31"/>
    <x v="673"/>
    <x v="3"/>
    <x v="0"/>
    <x v="4"/>
    <x v="0"/>
    <x v="3"/>
    <n v="363"/>
    <n v="363"/>
  </r>
  <r>
    <n v="675"/>
    <x v="287"/>
    <x v="674"/>
    <x v="3"/>
    <x v="0"/>
    <x v="19"/>
    <x v="4"/>
    <x v="1"/>
    <n v="257"/>
    <n v="1028"/>
  </r>
  <r>
    <n v="676"/>
    <x v="102"/>
    <x v="675"/>
    <x v="3"/>
    <x v="1"/>
    <x v="21"/>
    <x v="0"/>
    <x v="0"/>
    <n v="437"/>
    <n v="1311"/>
  </r>
  <r>
    <n v="677"/>
    <x v="288"/>
    <x v="676"/>
    <x v="0"/>
    <x v="0"/>
    <x v="6"/>
    <x v="0"/>
    <x v="3"/>
    <n v="33"/>
    <n v="33"/>
  </r>
  <r>
    <n v="678"/>
    <x v="103"/>
    <x v="677"/>
    <x v="3"/>
    <x v="0"/>
    <x v="11"/>
    <x v="1"/>
    <x v="3"/>
    <n v="246"/>
    <n v="246"/>
  </r>
  <r>
    <n v="679"/>
    <x v="230"/>
    <x v="678"/>
    <x v="3"/>
    <x v="1"/>
    <x v="38"/>
    <x v="4"/>
    <x v="3"/>
    <n v="487"/>
    <n v="487"/>
  </r>
  <r>
    <n v="680"/>
    <x v="102"/>
    <x v="679"/>
    <x v="3"/>
    <x v="1"/>
    <x v="30"/>
    <x v="1"/>
    <x v="4"/>
    <n v="380"/>
    <n v="1900"/>
  </r>
  <r>
    <n v="681"/>
    <x v="79"/>
    <x v="680"/>
    <x v="2"/>
    <x v="0"/>
    <x v="34"/>
    <x v="1"/>
    <x v="1"/>
    <n v="128"/>
    <n v="512"/>
  </r>
  <r>
    <n v="682"/>
    <x v="240"/>
    <x v="681"/>
    <x v="0"/>
    <x v="1"/>
    <x v="29"/>
    <x v="0"/>
    <x v="0"/>
    <n v="133"/>
    <n v="399"/>
  </r>
  <r>
    <n v="683"/>
    <x v="69"/>
    <x v="682"/>
    <x v="0"/>
    <x v="0"/>
    <x v="23"/>
    <x v="4"/>
    <x v="0"/>
    <n v="314"/>
    <n v="942"/>
  </r>
  <r>
    <n v="684"/>
    <x v="214"/>
    <x v="683"/>
    <x v="1"/>
    <x v="1"/>
    <x v="9"/>
    <x v="4"/>
    <x v="3"/>
    <n v="38"/>
    <n v="38"/>
  </r>
  <r>
    <n v="685"/>
    <x v="289"/>
    <x v="684"/>
    <x v="0"/>
    <x v="0"/>
    <x v="36"/>
    <x v="2"/>
    <x v="0"/>
    <n v="28"/>
    <n v="84"/>
  </r>
  <r>
    <n v="686"/>
    <x v="213"/>
    <x v="685"/>
    <x v="2"/>
    <x v="0"/>
    <x v="19"/>
    <x v="0"/>
    <x v="3"/>
    <n v="487"/>
    <n v="487"/>
  </r>
  <r>
    <n v="687"/>
    <x v="290"/>
    <x v="686"/>
    <x v="0"/>
    <x v="0"/>
    <x v="40"/>
    <x v="3"/>
    <x v="3"/>
    <n v="395"/>
    <n v="395"/>
  </r>
  <r>
    <n v="688"/>
    <x v="110"/>
    <x v="687"/>
    <x v="2"/>
    <x v="1"/>
    <x v="5"/>
    <x v="3"/>
    <x v="2"/>
    <n v="216"/>
    <n v="432"/>
  </r>
  <r>
    <n v="689"/>
    <x v="281"/>
    <x v="688"/>
    <x v="2"/>
    <x v="1"/>
    <x v="35"/>
    <x v="4"/>
    <x v="1"/>
    <n v="471"/>
    <n v="1884"/>
  </r>
  <r>
    <n v="690"/>
    <x v="178"/>
    <x v="689"/>
    <x v="0"/>
    <x v="0"/>
    <x v="5"/>
    <x v="2"/>
    <x v="0"/>
    <n v="396"/>
    <n v="1188"/>
  </r>
  <r>
    <n v="691"/>
    <x v="291"/>
    <x v="690"/>
    <x v="1"/>
    <x v="1"/>
    <x v="36"/>
    <x v="3"/>
    <x v="1"/>
    <n v="282"/>
    <n v="1128"/>
  </r>
  <r>
    <n v="692"/>
    <x v="7"/>
    <x v="691"/>
    <x v="3"/>
    <x v="0"/>
    <x v="4"/>
    <x v="0"/>
    <x v="0"/>
    <n v="113"/>
    <n v="339"/>
  </r>
  <r>
    <n v="693"/>
    <x v="29"/>
    <x v="692"/>
    <x v="3"/>
    <x v="1"/>
    <x v="30"/>
    <x v="3"/>
    <x v="4"/>
    <n v="459"/>
    <n v="2295"/>
  </r>
  <r>
    <n v="694"/>
    <x v="222"/>
    <x v="693"/>
    <x v="0"/>
    <x v="0"/>
    <x v="2"/>
    <x v="3"/>
    <x v="4"/>
    <n v="223"/>
    <n v="1115"/>
  </r>
  <r>
    <n v="695"/>
    <x v="191"/>
    <x v="694"/>
    <x v="0"/>
    <x v="0"/>
    <x v="21"/>
    <x v="1"/>
    <x v="3"/>
    <n v="271"/>
    <n v="271"/>
  </r>
  <r>
    <n v="696"/>
    <x v="133"/>
    <x v="695"/>
    <x v="2"/>
    <x v="1"/>
    <x v="18"/>
    <x v="2"/>
    <x v="2"/>
    <n v="104"/>
    <n v="208"/>
  </r>
  <r>
    <n v="697"/>
    <x v="244"/>
    <x v="696"/>
    <x v="0"/>
    <x v="0"/>
    <x v="21"/>
    <x v="2"/>
    <x v="4"/>
    <n v="470"/>
    <n v="2350"/>
  </r>
  <r>
    <n v="698"/>
    <x v="142"/>
    <x v="697"/>
    <x v="2"/>
    <x v="0"/>
    <x v="9"/>
    <x v="1"/>
    <x v="4"/>
    <n v="332"/>
    <n v="1660"/>
  </r>
  <r>
    <n v="699"/>
    <x v="260"/>
    <x v="698"/>
    <x v="1"/>
    <x v="1"/>
    <x v="39"/>
    <x v="4"/>
    <x v="1"/>
    <n v="125"/>
    <n v="500"/>
  </r>
  <r>
    <n v="700"/>
    <x v="19"/>
    <x v="699"/>
    <x v="0"/>
    <x v="0"/>
    <x v="11"/>
    <x v="4"/>
    <x v="4"/>
    <n v="414"/>
    <n v="2070"/>
  </r>
  <r>
    <n v="701"/>
    <x v="261"/>
    <x v="700"/>
    <x v="3"/>
    <x v="0"/>
    <x v="24"/>
    <x v="1"/>
    <x v="0"/>
    <n v="429"/>
    <n v="1287"/>
  </r>
  <r>
    <n v="702"/>
    <x v="13"/>
    <x v="701"/>
    <x v="3"/>
    <x v="0"/>
    <x v="3"/>
    <x v="1"/>
    <x v="2"/>
    <n v="256"/>
    <n v="512"/>
  </r>
  <r>
    <n v="703"/>
    <x v="292"/>
    <x v="702"/>
    <x v="0"/>
    <x v="0"/>
    <x v="26"/>
    <x v="4"/>
    <x v="1"/>
    <n v="259"/>
    <n v="1036"/>
  </r>
  <r>
    <n v="704"/>
    <x v="55"/>
    <x v="703"/>
    <x v="2"/>
    <x v="1"/>
    <x v="13"/>
    <x v="1"/>
    <x v="3"/>
    <n v="421"/>
    <n v="421"/>
  </r>
  <r>
    <n v="705"/>
    <x v="293"/>
    <x v="704"/>
    <x v="3"/>
    <x v="0"/>
    <x v="36"/>
    <x v="0"/>
    <x v="1"/>
    <n v="122"/>
    <n v="488"/>
  </r>
  <r>
    <n v="706"/>
    <x v="192"/>
    <x v="705"/>
    <x v="2"/>
    <x v="0"/>
    <x v="41"/>
    <x v="3"/>
    <x v="4"/>
    <n v="441"/>
    <n v="2205"/>
  </r>
  <r>
    <n v="707"/>
    <x v="164"/>
    <x v="706"/>
    <x v="0"/>
    <x v="1"/>
    <x v="13"/>
    <x v="4"/>
    <x v="4"/>
    <n v="242"/>
    <n v="1210"/>
  </r>
  <r>
    <n v="708"/>
    <x v="244"/>
    <x v="707"/>
    <x v="0"/>
    <x v="1"/>
    <x v="38"/>
    <x v="1"/>
    <x v="0"/>
    <n v="76"/>
    <n v="228"/>
  </r>
  <r>
    <n v="709"/>
    <x v="10"/>
    <x v="708"/>
    <x v="3"/>
    <x v="0"/>
    <x v="21"/>
    <x v="1"/>
    <x v="1"/>
    <n v="182"/>
    <n v="728"/>
  </r>
  <r>
    <n v="710"/>
    <x v="294"/>
    <x v="709"/>
    <x v="0"/>
    <x v="1"/>
    <x v="18"/>
    <x v="4"/>
    <x v="1"/>
    <n v="213"/>
    <n v="852"/>
  </r>
  <r>
    <n v="711"/>
    <x v="295"/>
    <x v="710"/>
    <x v="1"/>
    <x v="0"/>
    <x v="6"/>
    <x v="2"/>
    <x v="4"/>
    <n v="128"/>
    <n v="640"/>
  </r>
  <r>
    <n v="712"/>
    <x v="254"/>
    <x v="711"/>
    <x v="1"/>
    <x v="1"/>
    <x v="15"/>
    <x v="0"/>
    <x v="1"/>
    <n v="255"/>
    <n v="1020"/>
  </r>
  <r>
    <n v="713"/>
    <x v="277"/>
    <x v="712"/>
    <x v="3"/>
    <x v="0"/>
    <x v="27"/>
    <x v="1"/>
    <x v="2"/>
    <n v="175"/>
    <n v="350"/>
  </r>
  <r>
    <n v="714"/>
    <x v="170"/>
    <x v="713"/>
    <x v="1"/>
    <x v="0"/>
    <x v="11"/>
    <x v="4"/>
    <x v="3"/>
    <n v="291"/>
    <n v="291"/>
  </r>
  <r>
    <n v="715"/>
    <x v="21"/>
    <x v="714"/>
    <x v="2"/>
    <x v="1"/>
    <x v="12"/>
    <x v="3"/>
    <x v="4"/>
    <n v="386"/>
    <n v="1930"/>
  </r>
  <r>
    <n v="716"/>
    <x v="82"/>
    <x v="715"/>
    <x v="3"/>
    <x v="1"/>
    <x v="2"/>
    <x v="0"/>
    <x v="0"/>
    <n v="165"/>
    <n v="495"/>
  </r>
  <r>
    <n v="717"/>
    <x v="24"/>
    <x v="716"/>
    <x v="3"/>
    <x v="0"/>
    <x v="1"/>
    <x v="1"/>
    <x v="0"/>
    <n v="353"/>
    <n v="1059"/>
  </r>
  <r>
    <n v="718"/>
    <x v="99"/>
    <x v="717"/>
    <x v="2"/>
    <x v="0"/>
    <x v="25"/>
    <x v="4"/>
    <x v="3"/>
    <n v="225"/>
    <n v="225"/>
  </r>
  <r>
    <n v="719"/>
    <x v="257"/>
    <x v="718"/>
    <x v="1"/>
    <x v="0"/>
    <x v="24"/>
    <x v="0"/>
    <x v="4"/>
    <n v="25"/>
    <n v="125"/>
  </r>
  <r>
    <n v="720"/>
    <x v="229"/>
    <x v="719"/>
    <x v="1"/>
    <x v="1"/>
    <x v="23"/>
    <x v="4"/>
    <x v="0"/>
    <n v="305"/>
    <n v="915"/>
  </r>
  <r>
    <n v="721"/>
    <x v="181"/>
    <x v="720"/>
    <x v="1"/>
    <x v="0"/>
    <x v="23"/>
    <x v="0"/>
    <x v="2"/>
    <n v="218"/>
    <n v="436"/>
  </r>
  <r>
    <n v="722"/>
    <x v="57"/>
    <x v="721"/>
    <x v="3"/>
    <x v="0"/>
    <x v="25"/>
    <x v="4"/>
    <x v="2"/>
    <n v="117"/>
    <n v="234"/>
  </r>
  <r>
    <n v="723"/>
    <x v="156"/>
    <x v="722"/>
    <x v="3"/>
    <x v="0"/>
    <x v="1"/>
    <x v="3"/>
    <x v="0"/>
    <n v="343"/>
    <n v="1029"/>
  </r>
  <r>
    <n v="724"/>
    <x v="191"/>
    <x v="723"/>
    <x v="1"/>
    <x v="1"/>
    <x v="16"/>
    <x v="3"/>
    <x v="3"/>
    <n v="99"/>
    <n v="99"/>
  </r>
  <r>
    <n v="725"/>
    <x v="44"/>
    <x v="724"/>
    <x v="0"/>
    <x v="1"/>
    <x v="0"/>
    <x v="0"/>
    <x v="1"/>
    <n v="454"/>
    <n v="1816"/>
  </r>
  <r>
    <n v="726"/>
    <x v="45"/>
    <x v="725"/>
    <x v="1"/>
    <x v="0"/>
    <x v="31"/>
    <x v="0"/>
    <x v="2"/>
    <n v="360"/>
    <n v="720"/>
  </r>
  <r>
    <n v="727"/>
    <x v="16"/>
    <x v="726"/>
    <x v="2"/>
    <x v="1"/>
    <x v="27"/>
    <x v="2"/>
    <x v="3"/>
    <n v="496"/>
    <n v="496"/>
  </r>
  <r>
    <n v="728"/>
    <x v="283"/>
    <x v="727"/>
    <x v="3"/>
    <x v="0"/>
    <x v="37"/>
    <x v="0"/>
    <x v="4"/>
    <n v="28"/>
    <n v="140"/>
  </r>
  <r>
    <n v="729"/>
    <x v="82"/>
    <x v="728"/>
    <x v="2"/>
    <x v="0"/>
    <x v="5"/>
    <x v="3"/>
    <x v="4"/>
    <n v="235"/>
    <n v="1175"/>
  </r>
  <r>
    <n v="730"/>
    <x v="141"/>
    <x v="729"/>
    <x v="2"/>
    <x v="1"/>
    <x v="11"/>
    <x v="3"/>
    <x v="4"/>
    <n v="431"/>
    <n v="2155"/>
  </r>
  <r>
    <n v="731"/>
    <x v="3"/>
    <x v="730"/>
    <x v="3"/>
    <x v="1"/>
    <x v="29"/>
    <x v="0"/>
    <x v="3"/>
    <n v="317"/>
    <n v="317"/>
  </r>
  <r>
    <n v="732"/>
    <x v="151"/>
    <x v="731"/>
    <x v="0"/>
    <x v="1"/>
    <x v="24"/>
    <x v="2"/>
    <x v="2"/>
    <n v="477"/>
    <n v="954"/>
  </r>
  <r>
    <n v="733"/>
    <x v="69"/>
    <x v="732"/>
    <x v="1"/>
    <x v="1"/>
    <x v="35"/>
    <x v="0"/>
    <x v="1"/>
    <n v="151"/>
    <n v="604"/>
  </r>
  <r>
    <n v="734"/>
    <x v="116"/>
    <x v="733"/>
    <x v="2"/>
    <x v="1"/>
    <x v="42"/>
    <x v="2"/>
    <x v="0"/>
    <n v="94"/>
    <n v="282"/>
  </r>
  <r>
    <n v="735"/>
    <x v="209"/>
    <x v="734"/>
    <x v="3"/>
    <x v="0"/>
    <x v="3"/>
    <x v="4"/>
    <x v="4"/>
    <n v="64"/>
    <n v="320"/>
  </r>
  <r>
    <n v="736"/>
    <x v="135"/>
    <x v="735"/>
    <x v="2"/>
    <x v="1"/>
    <x v="29"/>
    <x v="2"/>
    <x v="0"/>
    <n v="61"/>
    <n v="183"/>
  </r>
  <r>
    <n v="737"/>
    <x v="296"/>
    <x v="736"/>
    <x v="1"/>
    <x v="0"/>
    <x v="2"/>
    <x v="4"/>
    <x v="4"/>
    <n v="456"/>
    <n v="2280"/>
  </r>
  <r>
    <n v="738"/>
    <x v="143"/>
    <x v="737"/>
    <x v="0"/>
    <x v="0"/>
    <x v="28"/>
    <x v="2"/>
    <x v="0"/>
    <n v="328"/>
    <n v="984"/>
  </r>
  <r>
    <n v="739"/>
    <x v="197"/>
    <x v="738"/>
    <x v="0"/>
    <x v="0"/>
    <x v="13"/>
    <x v="4"/>
    <x v="4"/>
    <n v="83"/>
    <n v="415"/>
  </r>
  <r>
    <n v="740"/>
    <x v="293"/>
    <x v="739"/>
    <x v="0"/>
    <x v="1"/>
    <x v="3"/>
    <x v="4"/>
    <x v="1"/>
    <n v="490"/>
    <n v="1960"/>
  </r>
  <r>
    <n v="741"/>
    <x v="137"/>
    <x v="740"/>
    <x v="3"/>
    <x v="0"/>
    <x v="17"/>
    <x v="3"/>
    <x v="0"/>
    <n v="55"/>
    <n v="165"/>
  </r>
  <r>
    <n v="742"/>
    <x v="100"/>
    <x v="741"/>
    <x v="3"/>
    <x v="0"/>
    <x v="25"/>
    <x v="1"/>
    <x v="2"/>
    <n v="326"/>
    <n v="652"/>
  </r>
  <r>
    <n v="743"/>
    <x v="29"/>
    <x v="742"/>
    <x v="0"/>
    <x v="1"/>
    <x v="32"/>
    <x v="2"/>
    <x v="2"/>
    <n v="386"/>
    <n v="772"/>
  </r>
  <r>
    <n v="744"/>
    <x v="223"/>
    <x v="743"/>
    <x v="1"/>
    <x v="0"/>
    <x v="36"/>
    <x v="3"/>
    <x v="2"/>
    <n v="388"/>
    <n v="776"/>
  </r>
  <r>
    <n v="745"/>
    <x v="186"/>
    <x v="744"/>
    <x v="1"/>
    <x v="1"/>
    <x v="39"/>
    <x v="3"/>
    <x v="3"/>
    <n v="165"/>
    <n v="165"/>
  </r>
  <r>
    <n v="746"/>
    <x v="178"/>
    <x v="745"/>
    <x v="3"/>
    <x v="1"/>
    <x v="17"/>
    <x v="1"/>
    <x v="4"/>
    <n v="115"/>
    <n v="575"/>
  </r>
  <r>
    <n v="747"/>
    <x v="108"/>
    <x v="746"/>
    <x v="0"/>
    <x v="1"/>
    <x v="20"/>
    <x v="1"/>
    <x v="0"/>
    <n v="249"/>
    <n v="747"/>
  </r>
  <r>
    <n v="748"/>
    <x v="297"/>
    <x v="747"/>
    <x v="1"/>
    <x v="0"/>
    <x v="25"/>
    <x v="3"/>
    <x v="0"/>
    <n v="170"/>
    <n v="510"/>
  </r>
  <r>
    <n v="749"/>
    <x v="225"/>
    <x v="748"/>
    <x v="1"/>
    <x v="0"/>
    <x v="27"/>
    <x v="2"/>
    <x v="3"/>
    <n v="408"/>
    <n v="408"/>
  </r>
  <r>
    <n v="750"/>
    <x v="158"/>
    <x v="749"/>
    <x v="1"/>
    <x v="0"/>
    <x v="4"/>
    <x v="4"/>
    <x v="1"/>
    <n v="441"/>
    <n v="1764"/>
  </r>
  <r>
    <n v="751"/>
    <x v="110"/>
    <x v="750"/>
    <x v="3"/>
    <x v="0"/>
    <x v="6"/>
    <x v="3"/>
    <x v="1"/>
    <n v="213"/>
    <n v="852"/>
  </r>
  <r>
    <n v="752"/>
    <x v="275"/>
    <x v="751"/>
    <x v="0"/>
    <x v="0"/>
    <x v="28"/>
    <x v="1"/>
    <x v="1"/>
    <n v="164"/>
    <n v="656"/>
  </r>
  <r>
    <n v="753"/>
    <x v="298"/>
    <x v="752"/>
    <x v="2"/>
    <x v="1"/>
    <x v="5"/>
    <x v="0"/>
    <x v="2"/>
    <n v="297"/>
    <n v="594"/>
  </r>
  <r>
    <n v="754"/>
    <x v="230"/>
    <x v="753"/>
    <x v="0"/>
    <x v="0"/>
    <x v="24"/>
    <x v="3"/>
    <x v="4"/>
    <n v="228"/>
    <n v="1140"/>
  </r>
  <r>
    <n v="755"/>
    <x v="159"/>
    <x v="754"/>
    <x v="0"/>
    <x v="0"/>
    <x v="10"/>
    <x v="1"/>
    <x v="1"/>
    <n v="460"/>
    <n v="1840"/>
  </r>
  <r>
    <n v="756"/>
    <x v="128"/>
    <x v="755"/>
    <x v="3"/>
    <x v="0"/>
    <x v="21"/>
    <x v="0"/>
    <x v="0"/>
    <n v="325"/>
    <n v="975"/>
  </r>
  <r>
    <n v="757"/>
    <x v="245"/>
    <x v="756"/>
    <x v="1"/>
    <x v="0"/>
    <x v="22"/>
    <x v="0"/>
    <x v="4"/>
    <n v="466"/>
    <n v="2330"/>
  </r>
  <r>
    <n v="758"/>
    <x v="208"/>
    <x v="757"/>
    <x v="1"/>
    <x v="1"/>
    <x v="31"/>
    <x v="3"/>
    <x v="0"/>
    <n v="173"/>
    <n v="519"/>
  </r>
  <r>
    <n v="759"/>
    <x v="183"/>
    <x v="758"/>
    <x v="3"/>
    <x v="0"/>
    <x v="8"/>
    <x v="3"/>
    <x v="3"/>
    <n v="164"/>
    <n v="164"/>
  </r>
  <r>
    <n v="760"/>
    <x v="111"/>
    <x v="759"/>
    <x v="3"/>
    <x v="0"/>
    <x v="32"/>
    <x v="4"/>
    <x v="0"/>
    <n v="485"/>
    <n v="1455"/>
  </r>
  <r>
    <n v="761"/>
    <x v="92"/>
    <x v="760"/>
    <x v="3"/>
    <x v="1"/>
    <x v="28"/>
    <x v="1"/>
    <x v="4"/>
    <n v="321"/>
    <n v="1605"/>
  </r>
  <r>
    <n v="762"/>
    <x v="181"/>
    <x v="761"/>
    <x v="3"/>
    <x v="1"/>
    <x v="3"/>
    <x v="3"/>
    <x v="1"/>
    <n v="450"/>
    <n v="1800"/>
  </r>
  <r>
    <n v="763"/>
    <x v="41"/>
    <x v="762"/>
    <x v="3"/>
    <x v="1"/>
    <x v="17"/>
    <x v="0"/>
    <x v="4"/>
    <n v="103"/>
    <n v="515"/>
  </r>
  <r>
    <n v="764"/>
    <x v="299"/>
    <x v="763"/>
    <x v="2"/>
    <x v="0"/>
    <x v="12"/>
    <x v="3"/>
    <x v="0"/>
    <n v="358"/>
    <n v="1074"/>
  </r>
  <r>
    <n v="765"/>
    <x v="257"/>
    <x v="764"/>
    <x v="0"/>
    <x v="1"/>
    <x v="38"/>
    <x v="0"/>
    <x v="1"/>
    <n v="206"/>
    <n v="824"/>
  </r>
  <r>
    <n v="766"/>
    <x v="201"/>
    <x v="765"/>
    <x v="0"/>
    <x v="1"/>
    <x v="26"/>
    <x v="1"/>
    <x v="0"/>
    <n v="327"/>
    <n v="981"/>
  </r>
  <r>
    <n v="767"/>
    <x v="59"/>
    <x v="766"/>
    <x v="0"/>
    <x v="1"/>
    <x v="37"/>
    <x v="1"/>
    <x v="3"/>
    <n v="100"/>
    <n v="100"/>
  </r>
  <r>
    <n v="768"/>
    <x v="119"/>
    <x v="767"/>
    <x v="1"/>
    <x v="1"/>
    <x v="31"/>
    <x v="0"/>
    <x v="0"/>
    <n v="418"/>
    <n v="1254"/>
  </r>
  <r>
    <n v="769"/>
    <x v="40"/>
    <x v="768"/>
    <x v="2"/>
    <x v="0"/>
    <x v="20"/>
    <x v="3"/>
    <x v="2"/>
    <n v="162"/>
    <n v="324"/>
  </r>
  <r>
    <n v="770"/>
    <x v="49"/>
    <x v="769"/>
    <x v="0"/>
    <x v="1"/>
    <x v="41"/>
    <x v="3"/>
    <x v="0"/>
    <n v="244"/>
    <n v="732"/>
  </r>
  <r>
    <n v="771"/>
    <x v="191"/>
    <x v="770"/>
    <x v="1"/>
    <x v="1"/>
    <x v="2"/>
    <x v="0"/>
    <x v="2"/>
    <n v="478"/>
    <n v="956"/>
  </r>
  <r>
    <n v="772"/>
    <x v="55"/>
    <x v="771"/>
    <x v="2"/>
    <x v="1"/>
    <x v="31"/>
    <x v="3"/>
    <x v="3"/>
    <n v="411"/>
    <n v="411"/>
  </r>
  <r>
    <n v="773"/>
    <x v="218"/>
    <x v="772"/>
    <x v="2"/>
    <x v="0"/>
    <x v="25"/>
    <x v="3"/>
    <x v="0"/>
    <n v="344"/>
    <n v="1032"/>
  </r>
  <r>
    <n v="774"/>
    <x v="300"/>
    <x v="773"/>
    <x v="1"/>
    <x v="0"/>
    <x v="14"/>
    <x v="1"/>
    <x v="1"/>
    <n v="166"/>
    <n v="664"/>
  </r>
  <r>
    <n v="775"/>
    <x v="299"/>
    <x v="774"/>
    <x v="2"/>
    <x v="0"/>
    <x v="42"/>
    <x v="2"/>
    <x v="0"/>
    <n v="106"/>
    <n v="318"/>
  </r>
  <r>
    <n v="776"/>
    <x v="36"/>
    <x v="775"/>
    <x v="1"/>
    <x v="1"/>
    <x v="22"/>
    <x v="2"/>
    <x v="2"/>
    <n v="144"/>
    <n v="288"/>
  </r>
  <r>
    <n v="777"/>
    <x v="293"/>
    <x v="776"/>
    <x v="0"/>
    <x v="1"/>
    <x v="25"/>
    <x v="0"/>
    <x v="2"/>
    <n v="302"/>
    <n v="604"/>
  </r>
  <r>
    <n v="778"/>
    <x v="163"/>
    <x v="777"/>
    <x v="1"/>
    <x v="1"/>
    <x v="4"/>
    <x v="0"/>
    <x v="0"/>
    <n v="262"/>
    <n v="786"/>
  </r>
  <r>
    <n v="779"/>
    <x v="244"/>
    <x v="778"/>
    <x v="2"/>
    <x v="1"/>
    <x v="11"/>
    <x v="0"/>
    <x v="4"/>
    <n v="140"/>
    <n v="700"/>
  </r>
  <r>
    <n v="780"/>
    <x v="162"/>
    <x v="779"/>
    <x v="0"/>
    <x v="0"/>
    <x v="4"/>
    <x v="3"/>
    <x v="0"/>
    <n v="372"/>
    <n v="1116"/>
  </r>
  <r>
    <n v="781"/>
    <x v="13"/>
    <x v="780"/>
    <x v="0"/>
    <x v="1"/>
    <x v="13"/>
    <x v="3"/>
    <x v="1"/>
    <n v="468"/>
    <n v="1872"/>
  </r>
  <r>
    <n v="782"/>
    <x v="290"/>
    <x v="781"/>
    <x v="3"/>
    <x v="1"/>
    <x v="41"/>
    <x v="2"/>
    <x v="2"/>
    <n v="283"/>
    <n v="566"/>
  </r>
  <r>
    <n v="783"/>
    <x v="118"/>
    <x v="782"/>
    <x v="3"/>
    <x v="0"/>
    <x v="7"/>
    <x v="4"/>
    <x v="3"/>
    <n v="158"/>
    <n v="158"/>
  </r>
  <r>
    <n v="784"/>
    <x v="301"/>
    <x v="783"/>
    <x v="2"/>
    <x v="1"/>
    <x v="37"/>
    <x v="2"/>
    <x v="2"/>
    <n v="440"/>
    <n v="880"/>
  </r>
  <r>
    <n v="785"/>
    <x v="109"/>
    <x v="784"/>
    <x v="1"/>
    <x v="0"/>
    <x v="19"/>
    <x v="1"/>
    <x v="0"/>
    <n v="245"/>
    <n v="735"/>
  </r>
  <r>
    <n v="786"/>
    <x v="136"/>
    <x v="785"/>
    <x v="1"/>
    <x v="1"/>
    <x v="35"/>
    <x v="1"/>
    <x v="2"/>
    <n v="84"/>
    <n v="168"/>
  </r>
  <r>
    <n v="787"/>
    <x v="225"/>
    <x v="786"/>
    <x v="2"/>
    <x v="1"/>
    <x v="30"/>
    <x v="4"/>
    <x v="2"/>
    <n v="262"/>
    <n v="524"/>
  </r>
  <r>
    <n v="788"/>
    <x v="142"/>
    <x v="787"/>
    <x v="0"/>
    <x v="1"/>
    <x v="15"/>
    <x v="1"/>
    <x v="1"/>
    <n v="68"/>
    <n v="272"/>
  </r>
  <r>
    <n v="789"/>
    <x v="233"/>
    <x v="788"/>
    <x v="2"/>
    <x v="0"/>
    <x v="39"/>
    <x v="2"/>
    <x v="4"/>
    <n v="392"/>
    <n v="1960"/>
  </r>
  <r>
    <n v="790"/>
    <x v="275"/>
    <x v="789"/>
    <x v="2"/>
    <x v="1"/>
    <x v="27"/>
    <x v="1"/>
    <x v="3"/>
    <n v="325"/>
    <n v="325"/>
  </r>
  <r>
    <n v="791"/>
    <x v="169"/>
    <x v="790"/>
    <x v="0"/>
    <x v="0"/>
    <x v="24"/>
    <x v="0"/>
    <x v="0"/>
    <n v="278"/>
    <n v="834"/>
  </r>
  <r>
    <n v="792"/>
    <x v="81"/>
    <x v="791"/>
    <x v="1"/>
    <x v="0"/>
    <x v="2"/>
    <x v="1"/>
    <x v="3"/>
    <n v="273"/>
    <n v="273"/>
  </r>
  <r>
    <n v="793"/>
    <x v="42"/>
    <x v="792"/>
    <x v="2"/>
    <x v="1"/>
    <x v="16"/>
    <x v="0"/>
    <x v="3"/>
    <n v="373"/>
    <n v="373"/>
  </r>
  <r>
    <n v="794"/>
    <x v="302"/>
    <x v="793"/>
    <x v="1"/>
    <x v="1"/>
    <x v="19"/>
    <x v="2"/>
    <x v="2"/>
    <n v="398"/>
    <n v="796"/>
  </r>
  <r>
    <n v="795"/>
    <x v="54"/>
    <x v="794"/>
    <x v="2"/>
    <x v="0"/>
    <x v="23"/>
    <x v="2"/>
    <x v="4"/>
    <n v="326"/>
    <n v="1630"/>
  </r>
  <r>
    <n v="796"/>
    <x v="274"/>
    <x v="795"/>
    <x v="0"/>
    <x v="1"/>
    <x v="41"/>
    <x v="2"/>
    <x v="2"/>
    <n v="180"/>
    <n v="360"/>
  </r>
  <r>
    <n v="797"/>
    <x v="253"/>
    <x v="796"/>
    <x v="0"/>
    <x v="0"/>
    <x v="7"/>
    <x v="1"/>
    <x v="3"/>
    <n v="447"/>
    <n v="447"/>
  </r>
  <r>
    <n v="798"/>
    <x v="161"/>
    <x v="797"/>
    <x v="3"/>
    <x v="1"/>
    <x v="1"/>
    <x v="4"/>
    <x v="4"/>
    <n v="398"/>
    <n v="1990"/>
  </r>
  <r>
    <n v="799"/>
    <x v="4"/>
    <x v="798"/>
    <x v="0"/>
    <x v="0"/>
    <x v="42"/>
    <x v="1"/>
    <x v="3"/>
    <n v="158"/>
    <n v="158"/>
  </r>
  <r>
    <n v="800"/>
    <x v="296"/>
    <x v="799"/>
    <x v="3"/>
    <x v="0"/>
    <x v="40"/>
    <x v="2"/>
    <x v="3"/>
    <n v="208"/>
    <n v="208"/>
  </r>
  <r>
    <n v="801"/>
    <x v="303"/>
    <x v="800"/>
    <x v="2"/>
    <x v="1"/>
    <x v="37"/>
    <x v="2"/>
    <x v="1"/>
    <n v="21"/>
    <n v="84"/>
  </r>
  <r>
    <n v="802"/>
    <x v="95"/>
    <x v="801"/>
    <x v="1"/>
    <x v="1"/>
    <x v="40"/>
    <x v="1"/>
    <x v="4"/>
    <n v="145"/>
    <n v="725"/>
  </r>
  <r>
    <n v="803"/>
    <x v="61"/>
    <x v="802"/>
    <x v="0"/>
    <x v="1"/>
    <x v="19"/>
    <x v="1"/>
    <x v="1"/>
    <n v="494"/>
    <n v="1976"/>
  </r>
  <r>
    <n v="804"/>
    <x v="209"/>
    <x v="803"/>
    <x v="0"/>
    <x v="0"/>
    <x v="9"/>
    <x v="1"/>
    <x v="1"/>
    <n v="352"/>
    <n v="1408"/>
  </r>
  <r>
    <n v="805"/>
    <x v="256"/>
    <x v="804"/>
    <x v="0"/>
    <x v="1"/>
    <x v="6"/>
    <x v="0"/>
    <x v="0"/>
    <n v="111"/>
    <n v="333"/>
  </r>
  <r>
    <n v="806"/>
    <x v="202"/>
    <x v="805"/>
    <x v="2"/>
    <x v="1"/>
    <x v="0"/>
    <x v="2"/>
    <x v="2"/>
    <n v="493"/>
    <n v="986"/>
  </r>
  <r>
    <n v="807"/>
    <x v="79"/>
    <x v="806"/>
    <x v="3"/>
    <x v="1"/>
    <x v="26"/>
    <x v="4"/>
    <x v="3"/>
    <n v="83"/>
    <n v="83"/>
  </r>
  <r>
    <n v="808"/>
    <x v="142"/>
    <x v="807"/>
    <x v="2"/>
    <x v="0"/>
    <x v="16"/>
    <x v="1"/>
    <x v="1"/>
    <n v="48"/>
    <n v="192"/>
  </r>
  <r>
    <n v="809"/>
    <x v="256"/>
    <x v="808"/>
    <x v="1"/>
    <x v="1"/>
    <x v="3"/>
    <x v="2"/>
    <x v="0"/>
    <n v="389"/>
    <n v="1167"/>
  </r>
  <r>
    <n v="810"/>
    <x v="259"/>
    <x v="809"/>
    <x v="2"/>
    <x v="1"/>
    <x v="4"/>
    <x v="1"/>
    <x v="4"/>
    <n v="378"/>
    <n v="1890"/>
  </r>
  <r>
    <n v="811"/>
    <x v="31"/>
    <x v="810"/>
    <x v="1"/>
    <x v="1"/>
    <x v="23"/>
    <x v="0"/>
    <x v="4"/>
    <n v="498"/>
    <n v="2490"/>
  </r>
  <r>
    <n v="812"/>
    <x v="230"/>
    <x v="811"/>
    <x v="0"/>
    <x v="0"/>
    <x v="30"/>
    <x v="2"/>
    <x v="1"/>
    <n v="476"/>
    <n v="1904"/>
  </r>
  <r>
    <n v="813"/>
    <x v="190"/>
    <x v="812"/>
    <x v="1"/>
    <x v="0"/>
    <x v="34"/>
    <x v="0"/>
    <x v="4"/>
    <n v="393"/>
    <n v="1965"/>
  </r>
  <r>
    <n v="814"/>
    <x v="237"/>
    <x v="813"/>
    <x v="1"/>
    <x v="1"/>
    <x v="8"/>
    <x v="1"/>
    <x v="2"/>
    <n v="27"/>
    <n v="54"/>
  </r>
  <r>
    <n v="815"/>
    <x v="241"/>
    <x v="814"/>
    <x v="3"/>
    <x v="0"/>
    <x v="23"/>
    <x v="0"/>
    <x v="4"/>
    <n v="334"/>
    <n v="1670"/>
  </r>
  <r>
    <n v="816"/>
    <x v="2"/>
    <x v="815"/>
    <x v="1"/>
    <x v="1"/>
    <x v="42"/>
    <x v="0"/>
    <x v="4"/>
    <n v="114"/>
    <n v="570"/>
  </r>
  <r>
    <n v="817"/>
    <x v="259"/>
    <x v="816"/>
    <x v="1"/>
    <x v="0"/>
    <x v="20"/>
    <x v="3"/>
    <x v="3"/>
    <n v="90"/>
    <n v="90"/>
  </r>
  <r>
    <n v="818"/>
    <x v="14"/>
    <x v="817"/>
    <x v="2"/>
    <x v="1"/>
    <x v="34"/>
    <x v="4"/>
    <x v="1"/>
    <n v="295"/>
    <n v="1180"/>
  </r>
  <r>
    <n v="819"/>
    <x v="304"/>
    <x v="818"/>
    <x v="0"/>
    <x v="0"/>
    <x v="24"/>
    <x v="2"/>
    <x v="0"/>
    <n v="140"/>
    <n v="420"/>
  </r>
  <r>
    <n v="820"/>
    <x v="98"/>
    <x v="819"/>
    <x v="2"/>
    <x v="1"/>
    <x v="26"/>
    <x v="1"/>
    <x v="4"/>
    <n v="107"/>
    <n v="535"/>
  </r>
  <r>
    <n v="821"/>
    <x v="281"/>
    <x v="820"/>
    <x v="2"/>
    <x v="1"/>
    <x v="2"/>
    <x v="2"/>
    <x v="2"/>
    <n v="315"/>
    <n v="630"/>
  </r>
  <r>
    <n v="822"/>
    <x v="103"/>
    <x v="821"/>
    <x v="0"/>
    <x v="1"/>
    <x v="31"/>
    <x v="4"/>
    <x v="4"/>
    <n v="271"/>
    <n v="1355"/>
  </r>
  <r>
    <n v="823"/>
    <x v="192"/>
    <x v="822"/>
    <x v="0"/>
    <x v="1"/>
    <x v="25"/>
    <x v="4"/>
    <x v="1"/>
    <n v="453"/>
    <n v="1812"/>
  </r>
  <r>
    <n v="824"/>
    <x v="66"/>
    <x v="823"/>
    <x v="1"/>
    <x v="1"/>
    <x v="33"/>
    <x v="3"/>
    <x v="1"/>
    <n v="183"/>
    <n v="732"/>
  </r>
  <r>
    <n v="825"/>
    <x v="167"/>
    <x v="824"/>
    <x v="1"/>
    <x v="0"/>
    <x v="9"/>
    <x v="1"/>
    <x v="1"/>
    <n v="342"/>
    <n v="1368"/>
  </r>
  <r>
    <n v="826"/>
    <x v="159"/>
    <x v="825"/>
    <x v="3"/>
    <x v="0"/>
    <x v="36"/>
    <x v="4"/>
    <x v="2"/>
    <n v="64"/>
    <n v="128"/>
  </r>
  <r>
    <n v="827"/>
    <x v="226"/>
    <x v="826"/>
    <x v="2"/>
    <x v="0"/>
    <x v="38"/>
    <x v="4"/>
    <x v="4"/>
    <n v="225"/>
    <n v="1125"/>
  </r>
  <r>
    <n v="828"/>
    <x v="0"/>
    <x v="827"/>
    <x v="0"/>
    <x v="1"/>
    <x v="1"/>
    <x v="1"/>
    <x v="1"/>
    <n v="427"/>
    <n v="1708"/>
  </r>
  <r>
    <n v="829"/>
    <x v="62"/>
    <x v="828"/>
    <x v="1"/>
    <x v="0"/>
    <x v="21"/>
    <x v="2"/>
    <x v="3"/>
    <n v="124"/>
    <n v="124"/>
  </r>
  <r>
    <n v="830"/>
    <x v="81"/>
    <x v="829"/>
    <x v="0"/>
    <x v="1"/>
    <x v="31"/>
    <x v="2"/>
    <x v="1"/>
    <n v="94"/>
    <n v="376"/>
  </r>
  <r>
    <n v="831"/>
    <x v="305"/>
    <x v="830"/>
    <x v="1"/>
    <x v="0"/>
    <x v="3"/>
    <x v="0"/>
    <x v="1"/>
    <n v="482"/>
    <n v="1928"/>
  </r>
  <r>
    <n v="832"/>
    <x v="306"/>
    <x v="831"/>
    <x v="3"/>
    <x v="1"/>
    <x v="34"/>
    <x v="3"/>
    <x v="1"/>
    <n v="177"/>
    <n v="708"/>
  </r>
  <r>
    <n v="833"/>
    <x v="292"/>
    <x v="832"/>
    <x v="3"/>
    <x v="1"/>
    <x v="15"/>
    <x v="0"/>
    <x v="3"/>
    <n v="142"/>
    <n v="142"/>
  </r>
  <r>
    <n v="834"/>
    <x v="233"/>
    <x v="833"/>
    <x v="0"/>
    <x v="1"/>
    <x v="5"/>
    <x v="1"/>
    <x v="0"/>
    <n v="64"/>
    <n v="192"/>
  </r>
  <r>
    <n v="835"/>
    <x v="276"/>
    <x v="834"/>
    <x v="3"/>
    <x v="1"/>
    <x v="41"/>
    <x v="3"/>
    <x v="2"/>
    <n v="251"/>
    <n v="502"/>
  </r>
  <r>
    <n v="836"/>
    <x v="307"/>
    <x v="835"/>
    <x v="0"/>
    <x v="1"/>
    <x v="10"/>
    <x v="0"/>
    <x v="0"/>
    <n v="442"/>
    <n v="1326"/>
  </r>
  <r>
    <n v="837"/>
    <x v="212"/>
    <x v="836"/>
    <x v="1"/>
    <x v="0"/>
    <x v="7"/>
    <x v="1"/>
    <x v="2"/>
    <n v="476"/>
    <n v="952"/>
  </r>
  <r>
    <n v="838"/>
    <x v="71"/>
    <x v="837"/>
    <x v="2"/>
    <x v="0"/>
    <x v="32"/>
    <x v="0"/>
    <x v="2"/>
    <n v="464"/>
    <n v="928"/>
  </r>
  <r>
    <n v="839"/>
    <x v="308"/>
    <x v="838"/>
    <x v="3"/>
    <x v="1"/>
    <x v="35"/>
    <x v="1"/>
    <x v="2"/>
    <n v="326"/>
    <n v="652"/>
  </r>
  <r>
    <n v="840"/>
    <x v="48"/>
    <x v="839"/>
    <x v="1"/>
    <x v="1"/>
    <x v="33"/>
    <x v="2"/>
    <x v="1"/>
    <n v="433"/>
    <n v="1732"/>
  </r>
  <r>
    <n v="841"/>
    <x v="262"/>
    <x v="840"/>
    <x v="2"/>
    <x v="0"/>
    <x v="0"/>
    <x v="0"/>
    <x v="4"/>
    <n v="219"/>
    <n v="1095"/>
  </r>
  <r>
    <n v="842"/>
    <x v="309"/>
    <x v="841"/>
    <x v="2"/>
    <x v="1"/>
    <x v="30"/>
    <x v="4"/>
    <x v="4"/>
    <n v="496"/>
    <n v="2480"/>
  </r>
  <r>
    <n v="843"/>
    <x v="107"/>
    <x v="842"/>
    <x v="2"/>
    <x v="1"/>
    <x v="41"/>
    <x v="2"/>
    <x v="4"/>
    <n v="293"/>
    <n v="1465"/>
  </r>
  <r>
    <n v="844"/>
    <x v="310"/>
    <x v="843"/>
    <x v="1"/>
    <x v="0"/>
    <x v="39"/>
    <x v="4"/>
    <x v="3"/>
    <n v="481"/>
    <n v="481"/>
  </r>
  <r>
    <n v="845"/>
    <x v="311"/>
    <x v="844"/>
    <x v="1"/>
    <x v="1"/>
    <x v="41"/>
    <x v="2"/>
    <x v="2"/>
    <n v="126"/>
    <n v="252"/>
  </r>
  <r>
    <n v="846"/>
    <x v="194"/>
    <x v="845"/>
    <x v="0"/>
    <x v="1"/>
    <x v="27"/>
    <x v="4"/>
    <x v="4"/>
    <n v="397"/>
    <n v="1985"/>
  </r>
  <r>
    <n v="847"/>
    <x v="164"/>
    <x v="846"/>
    <x v="2"/>
    <x v="1"/>
    <x v="10"/>
    <x v="1"/>
    <x v="2"/>
    <n v="490"/>
    <n v="980"/>
  </r>
  <r>
    <n v="848"/>
    <x v="133"/>
    <x v="847"/>
    <x v="2"/>
    <x v="1"/>
    <x v="5"/>
    <x v="4"/>
    <x v="1"/>
    <n v="304"/>
    <n v="1216"/>
  </r>
  <r>
    <n v="849"/>
    <x v="185"/>
    <x v="848"/>
    <x v="2"/>
    <x v="1"/>
    <x v="21"/>
    <x v="4"/>
    <x v="2"/>
    <n v="103"/>
    <n v="206"/>
  </r>
  <r>
    <n v="850"/>
    <x v="247"/>
    <x v="849"/>
    <x v="0"/>
    <x v="1"/>
    <x v="41"/>
    <x v="0"/>
    <x v="0"/>
    <n v="68"/>
    <n v="204"/>
  </r>
  <r>
    <n v="851"/>
    <x v="312"/>
    <x v="850"/>
    <x v="2"/>
    <x v="1"/>
    <x v="35"/>
    <x v="1"/>
    <x v="3"/>
    <n v="384"/>
    <n v="384"/>
  </r>
  <r>
    <n v="852"/>
    <x v="9"/>
    <x v="851"/>
    <x v="1"/>
    <x v="0"/>
    <x v="20"/>
    <x v="2"/>
    <x v="2"/>
    <n v="247"/>
    <n v="494"/>
  </r>
  <r>
    <n v="853"/>
    <x v="95"/>
    <x v="852"/>
    <x v="2"/>
    <x v="1"/>
    <x v="21"/>
    <x v="3"/>
    <x v="0"/>
    <n v="87"/>
    <n v="261"/>
  </r>
  <r>
    <n v="854"/>
    <x v="24"/>
    <x v="853"/>
    <x v="3"/>
    <x v="0"/>
    <x v="28"/>
    <x v="4"/>
    <x v="3"/>
    <n v="40"/>
    <n v="40"/>
  </r>
  <r>
    <n v="855"/>
    <x v="59"/>
    <x v="854"/>
    <x v="1"/>
    <x v="1"/>
    <x v="21"/>
    <x v="0"/>
    <x v="4"/>
    <n v="451"/>
    <n v="2255"/>
  </r>
  <r>
    <n v="856"/>
    <x v="73"/>
    <x v="855"/>
    <x v="0"/>
    <x v="0"/>
    <x v="19"/>
    <x v="1"/>
    <x v="3"/>
    <n v="379"/>
    <n v="379"/>
  </r>
  <r>
    <n v="857"/>
    <x v="35"/>
    <x v="856"/>
    <x v="2"/>
    <x v="0"/>
    <x v="3"/>
    <x v="0"/>
    <x v="1"/>
    <n v="410"/>
    <n v="1640"/>
  </r>
  <r>
    <n v="858"/>
    <x v="268"/>
    <x v="857"/>
    <x v="3"/>
    <x v="0"/>
    <x v="16"/>
    <x v="3"/>
    <x v="0"/>
    <n v="308"/>
    <n v="924"/>
  </r>
  <r>
    <n v="859"/>
    <x v="133"/>
    <x v="858"/>
    <x v="0"/>
    <x v="0"/>
    <x v="2"/>
    <x v="1"/>
    <x v="2"/>
    <n v="305"/>
    <n v="610"/>
  </r>
  <r>
    <n v="860"/>
    <x v="97"/>
    <x v="859"/>
    <x v="0"/>
    <x v="0"/>
    <x v="6"/>
    <x v="4"/>
    <x v="1"/>
    <n v="377"/>
    <n v="1508"/>
  </r>
  <r>
    <n v="861"/>
    <x v="313"/>
    <x v="860"/>
    <x v="1"/>
    <x v="1"/>
    <x v="32"/>
    <x v="3"/>
    <x v="2"/>
    <n v="209"/>
    <n v="418"/>
  </r>
  <r>
    <n v="862"/>
    <x v="191"/>
    <x v="861"/>
    <x v="0"/>
    <x v="1"/>
    <x v="27"/>
    <x v="1"/>
    <x v="0"/>
    <n v="104"/>
    <n v="312"/>
  </r>
  <r>
    <n v="863"/>
    <x v="160"/>
    <x v="862"/>
    <x v="0"/>
    <x v="0"/>
    <x v="34"/>
    <x v="3"/>
    <x v="2"/>
    <n v="481"/>
    <n v="962"/>
  </r>
  <r>
    <n v="864"/>
    <x v="33"/>
    <x v="863"/>
    <x v="0"/>
    <x v="0"/>
    <x v="37"/>
    <x v="0"/>
    <x v="1"/>
    <n v="425"/>
    <n v="1700"/>
  </r>
  <r>
    <n v="865"/>
    <x v="247"/>
    <x v="864"/>
    <x v="0"/>
    <x v="0"/>
    <x v="7"/>
    <x v="1"/>
    <x v="2"/>
    <n v="309"/>
    <n v="618"/>
  </r>
  <r>
    <n v="866"/>
    <x v="190"/>
    <x v="865"/>
    <x v="2"/>
    <x v="1"/>
    <x v="19"/>
    <x v="2"/>
    <x v="2"/>
    <n v="67"/>
    <n v="134"/>
  </r>
  <r>
    <n v="867"/>
    <x v="9"/>
    <x v="866"/>
    <x v="2"/>
    <x v="0"/>
    <x v="17"/>
    <x v="2"/>
    <x v="1"/>
    <n v="474"/>
    <n v="1896"/>
  </r>
  <r>
    <n v="868"/>
    <x v="132"/>
    <x v="867"/>
    <x v="2"/>
    <x v="1"/>
    <x v="5"/>
    <x v="1"/>
    <x v="4"/>
    <n v="167"/>
    <n v="835"/>
  </r>
  <r>
    <n v="869"/>
    <x v="41"/>
    <x v="868"/>
    <x v="2"/>
    <x v="1"/>
    <x v="42"/>
    <x v="4"/>
    <x v="1"/>
    <n v="317"/>
    <n v="1268"/>
  </r>
  <r>
    <n v="870"/>
    <x v="297"/>
    <x v="869"/>
    <x v="3"/>
    <x v="0"/>
    <x v="3"/>
    <x v="1"/>
    <x v="1"/>
    <n v="447"/>
    <n v="1788"/>
  </r>
  <r>
    <n v="871"/>
    <x v="52"/>
    <x v="870"/>
    <x v="2"/>
    <x v="0"/>
    <x v="10"/>
    <x v="2"/>
    <x v="4"/>
    <n v="100"/>
    <n v="500"/>
  </r>
  <r>
    <n v="872"/>
    <x v="314"/>
    <x v="871"/>
    <x v="0"/>
    <x v="1"/>
    <x v="32"/>
    <x v="2"/>
    <x v="1"/>
    <n v="307"/>
    <n v="1228"/>
  </r>
  <r>
    <n v="873"/>
    <x v="269"/>
    <x v="872"/>
    <x v="2"/>
    <x v="1"/>
    <x v="32"/>
    <x v="4"/>
    <x v="0"/>
    <n v="60"/>
    <n v="180"/>
  </r>
  <r>
    <n v="874"/>
    <x v="138"/>
    <x v="873"/>
    <x v="2"/>
    <x v="0"/>
    <x v="11"/>
    <x v="0"/>
    <x v="0"/>
    <n v="43"/>
    <n v="129"/>
  </r>
  <r>
    <n v="875"/>
    <x v="63"/>
    <x v="874"/>
    <x v="1"/>
    <x v="1"/>
    <x v="36"/>
    <x v="1"/>
    <x v="1"/>
    <n v="137"/>
    <n v="548"/>
  </r>
  <r>
    <n v="876"/>
    <x v="20"/>
    <x v="875"/>
    <x v="0"/>
    <x v="0"/>
    <x v="14"/>
    <x v="4"/>
    <x v="0"/>
    <n v="117"/>
    <n v="351"/>
  </r>
  <r>
    <n v="877"/>
    <x v="125"/>
    <x v="876"/>
    <x v="2"/>
    <x v="0"/>
    <x v="34"/>
    <x v="1"/>
    <x v="2"/>
    <n v="181"/>
    <n v="362"/>
  </r>
  <r>
    <n v="878"/>
    <x v="211"/>
    <x v="877"/>
    <x v="2"/>
    <x v="1"/>
    <x v="21"/>
    <x v="1"/>
    <x v="4"/>
    <n v="182"/>
    <n v="910"/>
  </r>
  <r>
    <n v="879"/>
    <x v="69"/>
    <x v="878"/>
    <x v="2"/>
    <x v="0"/>
    <x v="41"/>
    <x v="2"/>
    <x v="3"/>
    <n v="42"/>
    <n v="42"/>
  </r>
  <r>
    <n v="880"/>
    <x v="47"/>
    <x v="879"/>
    <x v="3"/>
    <x v="0"/>
    <x v="37"/>
    <x v="0"/>
    <x v="3"/>
    <n v="344"/>
    <n v="344"/>
  </r>
  <r>
    <n v="881"/>
    <x v="149"/>
    <x v="880"/>
    <x v="2"/>
    <x v="1"/>
    <x v="3"/>
    <x v="3"/>
    <x v="2"/>
    <n v="342"/>
    <n v="684"/>
  </r>
  <r>
    <n v="882"/>
    <x v="43"/>
    <x v="881"/>
    <x v="1"/>
    <x v="1"/>
    <x v="22"/>
    <x v="1"/>
    <x v="3"/>
    <n v="483"/>
    <n v="483"/>
  </r>
  <r>
    <n v="883"/>
    <x v="90"/>
    <x v="882"/>
    <x v="0"/>
    <x v="1"/>
    <x v="1"/>
    <x v="4"/>
    <x v="2"/>
    <n v="227"/>
    <n v="454"/>
  </r>
  <r>
    <n v="884"/>
    <x v="198"/>
    <x v="883"/>
    <x v="0"/>
    <x v="1"/>
    <x v="17"/>
    <x v="1"/>
    <x v="2"/>
    <n v="373"/>
    <n v="746"/>
  </r>
  <r>
    <n v="885"/>
    <x v="298"/>
    <x v="884"/>
    <x v="2"/>
    <x v="1"/>
    <x v="29"/>
    <x v="4"/>
    <x v="0"/>
    <n v="296"/>
    <n v="888"/>
  </r>
  <r>
    <n v="886"/>
    <x v="60"/>
    <x v="885"/>
    <x v="2"/>
    <x v="1"/>
    <x v="11"/>
    <x v="3"/>
    <x v="4"/>
    <n v="300"/>
    <n v="1500"/>
  </r>
  <r>
    <n v="887"/>
    <x v="252"/>
    <x v="886"/>
    <x v="2"/>
    <x v="1"/>
    <x v="19"/>
    <x v="2"/>
    <x v="0"/>
    <n v="53"/>
    <n v="159"/>
  </r>
  <r>
    <n v="888"/>
    <x v="224"/>
    <x v="887"/>
    <x v="0"/>
    <x v="1"/>
    <x v="34"/>
    <x v="3"/>
    <x v="2"/>
    <n v="381"/>
    <n v="762"/>
  </r>
  <r>
    <n v="889"/>
    <x v="89"/>
    <x v="888"/>
    <x v="0"/>
    <x v="0"/>
    <x v="20"/>
    <x v="2"/>
    <x v="2"/>
    <n v="363"/>
    <n v="726"/>
  </r>
  <r>
    <n v="890"/>
    <x v="87"/>
    <x v="889"/>
    <x v="3"/>
    <x v="0"/>
    <x v="33"/>
    <x v="2"/>
    <x v="3"/>
    <n v="213"/>
    <n v="213"/>
  </r>
  <r>
    <n v="891"/>
    <x v="264"/>
    <x v="890"/>
    <x v="1"/>
    <x v="1"/>
    <x v="22"/>
    <x v="4"/>
    <x v="2"/>
    <n v="87"/>
    <n v="174"/>
  </r>
  <r>
    <n v="892"/>
    <x v="295"/>
    <x v="891"/>
    <x v="3"/>
    <x v="1"/>
    <x v="42"/>
    <x v="4"/>
    <x v="2"/>
    <n v="238"/>
    <n v="476"/>
  </r>
  <r>
    <n v="893"/>
    <x v="228"/>
    <x v="892"/>
    <x v="1"/>
    <x v="0"/>
    <x v="10"/>
    <x v="2"/>
    <x v="2"/>
    <n v="103"/>
    <n v="206"/>
  </r>
  <r>
    <n v="894"/>
    <x v="211"/>
    <x v="893"/>
    <x v="3"/>
    <x v="0"/>
    <x v="7"/>
    <x v="4"/>
    <x v="2"/>
    <n v="413"/>
    <n v="826"/>
  </r>
  <r>
    <n v="895"/>
    <x v="315"/>
    <x v="894"/>
    <x v="0"/>
    <x v="1"/>
    <x v="16"/>
    <x v="4"/>
    <x v="4"/>
    <n v="401"/>
    <n v="2005"/>
  </r>
  <r>
    <n v="896"/>
    <x v="210"/>
    <x v="895"/>
    <x v="3"/>
    <x v="1"/>
    <x v="4"/>
    <x v="3"/>
    <x v="4"/>
    <n v="30"/>
    <n v="150"/>
  </r>
  <r>
    <n v="897"/>
    <x v="143"/>
    <x v="896"/>
    <x v="1"/>
    <x v="1"/>
    <x v="29"/>
    <x v="0"/>
    <x v="2"/>
    <n v="302"/>
    <n v="604"/>
  </r>
  <r>
    <n v="898"/>
    <x v="64"/>
    <x v="897"/>
    <x v="2"/>
    <x v="0"/>
    <x v="0"/>
    <x v="4"/>
    <x v="4"/>
    <n v="487"/>
    <n v="2435"/>
  </r>
  <r>
    <n v="899"/>
    <x v="233"/>
    <x v="898"/>
    <x v="1"/>
    <x v="0"/>
    <x v="41"/>
    <x v="1"/>
    <x v="1"/>
    <n v="309"/>
    <n v="1236"/>
  </r>
  <r>
    <n v="900"/>
    <x v="197"/>
    <x v="899"/>
    <x v="2"/>
    <x v="0"/>
    <x v="34"/>
    <x v="3"/>
    <x v="3"/>
    <n v="45"/>
    <n v="45"/>
  </r>
  <r>
    <n v="901"/>
    <x v="167"/>
    <x v="900"/>
    <x v="0"/>
    <x v="1"/>
    <x v="4"/>
    <x v="4"/>
    <x v="4"/>
    <n v="159"/>
    <n v="795"/>
  </r>
  <r>
    <n v="902"/>
    <x v="316"/>
    <x v="901"/>
    <x v="1"/>
    <x v="0"/>
    <x v="13"/>
    <x v="2"/>
    <x v="3"/>
    <n v="474"/>
    <n v="474"/>
  </r>
  <r>
    <n v="903"/>
    <x v="132"/>
    <x v="902"/>
    <x v="3"/>
    <x v="1"/>
    <x v="34"/>
    <x v="2"/>
    <x v="4"/>
    <n v="206"/>
    <n v="1030"/>
  </r>
  <r>
    <n v="904"/>
    <x v="282"/>
    <x v="903"/>
    <x v="1"/>
    <x v="1"/>
    <x v="9"/>
    <x v="4"/>
    <x v="1"/>
    <n v="309"/>
    <n v="1236"/>
  </r>
  <r>
    <n v="905"/>
    <x v="283"/>
    <x v="904"/>
    <x v="2"/>
    <x v="0"/>
    <x v="32"/>
    <x v="1"/>
    <x v="2"/>
    <n v="373"/>
    <n v="746"/>
  </r>
  <r>
    <n v="906"/>
    <x v="305"/>
    <x v="905"/>
    <x v="0"/>
    <x v="1"/>
    <x v="31"/>
    <x v="0"/>
    <x v="3"/>
    <n v="335"/>
    <n v="335"/>
  </r>
  <r>
    <n v="907"/>
    <x v="242"/>
    <x v="906"/>
    <x v="3"/>
    <x v="1"/>
    <x v="26"/>
    <x v="3"/>
    <x v="4"/>
    <n v="74"/>
    <n v="370"/>
  </r>
  <r>
    <n v="908"/>
    <x v="247"/>
    <x v="907"/>
    <x v="1"/>
    <x v="1"/>
    <x v="0"/>
    <x v="3"/>
    <x v="3"/>
    <n v="312"/>
    <n v="312"/>
  </r>
  <r>
    <n v="909"/>
    <x v="176"/>
    <x v="908"/>
    <x v="2"/>
    <x v="0"/>
    <x v="30"/>
    <x v="2"/>
    <x v="1"/>
    <n v="255"/>
    <n v="1020"/>
  </r>
  <r>
    <n v="910"/>
    <x v="275"/>
    <x v="909"/>
    <x v="3"/>
    <x v="1"/>
    <x v="25"/>
    <x v="3"/>
    <x v="2"/>
    <n v="316"/>
    <n v="632"/>
  </r>
  <r>
    <n v="911"/>
    <x v="152"/>
    <x v="910"/>
    <x v="0"/>
    <x v="1"/>
    <x v="25"/>
    <x v="0"/>
    <x v="2"/>
    <n v="390"/>
    <n v="780"/>
  </r>
  <r>
    <n v="912"/>
    <x v="230"/>
    <x v="911"/>
    <x v="3"/>
    <x v="0"/>
    <x v="21"/>
    <x v="0"/>
    <x v="3"/>
    <n v="123"/>
    <n v="123"/>
  </r>
  <r>
    <n v="913"/>
    <x v="315"/>
    <x v="912"/>
    <x v="0"/>
    <x v="1"/>
    <x v="5"/>
    <x v="1"/>
    <x v="1"/>
    <n v="131"/>
    <n v="524"/>
  </r>
  <r>
    <n v="914"/>
    <x v="274"/>
    <x v="913"/>
    <x v="3"/>
    <x v="1"/>
    <x v="5"/>
    <x v="3"/>
    <x v="2"/>
    <n v="486"/>
    <n v="972"/>
  </r>
  <r>
    <n v="915"/>
    <x v="317"/>
    <x v="914"/>
    <x v="1"/>
    <x v="0"/>
    <x v="6"/>
    <x v="0"/>
    <x v="4"/>
    <n v="94"/>
    <n v="470"/>
  </r>
  <r>
    <n v="916"/>
    <x v="287"/>
    <x v="915"/>
    <x v="2"/>
    <x v="0"/>
    <x v="8"/>
    <x v="2"/>
    <x v="2"/>
    <n v="352"/>
    <n v="704"/>
  </r>
  <r>
    <n v="917"/>
    <x v="77"/>
    <x v="916"/>
    <x v="1"/>
    <x v="1"/>
    <x v="13"/>
    <x v="2"/>
    <x v="3"/>
    <n v="71"/>
    <n v="71"/>
  </r>
  <r>
    <n v="918"/>
    <x v="318"/>
    <x v="917"/>
    <x v="1"/>
    <x v="1"/>
    <x v="21"/>
    <x v="1"/>
    <x v="2"/>
    <n v="217"/>
    <n v="434"/>
  </r>
  <r>
    <n v="919"/>
    <x v="9"/>
    <x v="918"/>
    <x v="0"/>
    <x v="1"/>
    <x v="40"/>
    <x v="1"/>
    <x v="0"/>
    <n v="464"/>
    <n v="1392"/>
  </r>
  <r>
    <n v="920"/>
    <x v="104"/>
    <x v="919"/>
    <x v="0"/>
    <x v="1"/>
    <x v="11"/>
    <x v="3"/>
    <x v="1"/>
    <n v="387"/>
    <n v="1548"/>
  </r>
  <r>
    <n v="921"/>
    <x v="41"/>
    <x v="920"/>
    <x v="0"/>
    <x v="1"/>
    <x v="25"/>
    <x v="1"/>
    <x v="4"/>
    <n v="46"/>
    <n v="230"/>
  </r>
  <r>
    <n v="922"/>
    <x v="3"/>
    <x v="921"/>
    <x v="1"/>
    <x v="0"/>
    <x v="4"/>
    <x v="3"/>
    <x v="0"/>
    <n v="35"/>
    <n v="105"/>
  </r>
  <r>
    <n v="923"/>
    <x v="50"/>
    <x v="922"/>
    <x v="3"/>
    <x v="1"/>
    <x v="18"/>
    <x v="2"/>
    <x v="2"/>
    <n v="498"/>
    <n v="996"/>
  </r>
  <r>
    <n v="924"/>
    <x v="275"/>
    <x v="923"/>
    <x v="3"/>
    <x v="0"/>
    <x v="25"/>
    <x v="4"/>
    <x v="2"/>
    <n v="442"/>
    <n v="884"/>
  </r>
  <r>
    <n v="925"/>
    <x v="10"/>
    <x v="924"/>
    <x v="1"/>
    <x v="0"/>
    <x v="8"/>
    <x v="3"/>
    <x v="1"/>
    <n v="67"/>
    <n v="268"/>
  </r>
  <r>
    <n v="926"/>
    <x v="144"/>
    <x v="925"/>
    <x v="1"/>
    <x v="1"/>
    <x v="38"/>
    <x v="1"/>
    <x v="0"/>
    <n v="472"/>
    <n v="1416"/>
  </r>
  <r>
    <n v="927"/>
    <x v="98"/>
    <x v="926"/>
    <x v="2"/>
    <x v="1"/>
    <x v="38"/>
    <x v="0"/>
    <x v="0"/>
    <n v="86"/>
    <n v="258"/>
  </r>
  <r>
    <n v="928"/>
    <x v="43"/>
    <x v="927"/>
    <x v="0"/>
    <x v="1"/>
    <x v="39"/>
    <x v="4"/>
    <x v="1"/>
    <n v="419"/>
    <n v="1676"/>
  </r>
  <r>
    <n v="929"/>
    <x v="28"/>
    <x v="928"/>
    <x v="0"/>
    <x v="1"/>
    <x v="28"/>
    <x v="3"/>
    <x v="1"/>
    <n v="259"/>
    <n v="1036"/>
  </r>
  <r>
    <n v="930"/>
    <x v="4"/>
    <x v="929"/>
    <x v="1"/>
    <x v="0"/>
    <x v="6"/>
    <x v="2"/>
    <x v="0"/>
    <n v="22"/>
    <n v="66"/>
  </r>
  <r>
    <n v="931"/>
    <x v="182"/>
    <x v="930"/>
    <x v="1"/>
    <x v="0"/>
    <x v="32"/>
    <x v="1"/>
    <x v="4"/>
    <n v="351"/>
    <n v="1755"/>
  </r>
  <r>
    <n v="932"/>
    <x v="86"/>
    <x v="931"/>
    <x v="3"/>
    <x v="1"/>
    <x v="37"/>
    <x v="2"/>
    <x v="4"/>
    <n v="26"/>
    <n v="130"/>
  </r>
  <r>
    <n v="933"/>
    <x v="1"/>
    <x v="932"/>
    <x v="1"/>
    <x v="1"/>
    <x v="0"/>
    <x v="1"/>
    <x v="4"/>
    <n v="389"/>
    <n v="1945"/>
  </r>
  <r>
    <n v="934"/>
    <x v="74"/>
    <x v="933"/>
    <x v="3"/>
    <x v="1"/>
    <x v="0"/>
    <x v="1"/>
    <x v="0"/>
    <n v="99"/>
    <n v="297"/>
  </r>
  <r>
    <n v="935"/>
    <x v="155"/>
    <x v="934"/>
    <x v="1"/>
    <x v="1"/>
    <x v="14"/>
    <x v="3"/>
    <x v="0"/>
    <n v="338"/>
    <n v="1014"/>
  </r>
  <r>
    <n v="936"/>
    <x v="268"/>
    <x v="935"/>
    <x v="2"/>
    <x v="0"/>
    <x v="38"/>
    <x v="3"/>
    <x v="4"/>
    <n v="464"/>
    <n v="2320"/>
  </r>
  <r>
    <n v="937"/>
    <x v="52"/>
    <x v="936"/>
    <x v="2"/>
    <x v="0"/>
    <x v="23"/>
    <x v="0"/>
    <x v="4"/>
    <n v="471"/>
    <n v="2355"/>
  </r>
  <r>
    <n v="938"/>
    <x v="239"/>
    <x v="937"/>
    <x v="3"/>
    <x v="1"/>
    <x v="30"/>
    <x v="1"/>
    <x v="3"/>
    <n v="165"/>
    <n v="165"/>
  </r>
  <r>
    <n v="939"/>
    <x v="158"/>
    <x v="938"/>
    <x v="0"/>
    <x v="0"/>
    <x v="29"/>
    <x v="1"/>
    <x v="2"/>
    <n v="196"/>
    <n v="392"/>
  </r>
  <r>
    <n v="940"/>
    <x v="267"/>
    <x v="939"/>
    <x v="2"/>
    <x v="0"/>
    <x v="34"/>
    <x v="0"/>
    <x v="3"/>
    <n v="306"/>
    <n v="306"/>
  </r>
  <r>
    <n v="941"/>
    <x v="106"/>
    <x v="940"/>
    <x v="3"/>
    <x v="0"/>
    <x v="5"/>
    <x v="1"/>
    <x v="1"/>
    <n v="395"/>
    <n v="1580"/>
  </r>
  <r>
    <n v="942"/>
    <x v="313"/>
    <x v="941"/>
    <x v="1"/>
    <x v="1"/>
    <x v="22"/>
    <x v="1"/>
    <x v="3"/>
    <n v="184"/>
    <n v="184"/>
  </r>
  <r>
    <n v="943"/>
    <x v="97"/>
    <x v="942"/>
    <x v="1"/>
    <x v="1"/>
    <x v="14"/>
    <x v="0"/>
    <x v="3"/>
    <n v="79"/>
    <n v="79"/>
  </r>
  <r>
    <n v="944"/>
    <x v="286"/>
    <x v="943"/>
    <x v="3"/>
    <x v="0"/>
    <x v="25"/>
    <x v="0"/>
    <x v="2"/>
    <n v="185"/>
    <n v="370"/>
  </r>
  <r>
    <n v="945"/>
    <x v="156"/>
    <x v="944"/>
    <x v="0"/>
    <x v="0"/>
    <x v="17"/>
    <x v="0"/>
    <x v="3"/>
    <n v="90"/>
    <n v="90"/>
  </r>
  <r>
    <n v="946"/>
    <x v="316"/>
    <x v="945"/>
    <x v="3"/>
    <x v="1"/>
    <x v="14"/>
    <x v="0"/>
    <x v="0"/>
    <n v="452"/>
    <n v="1356"/>
  </r>
  <r>
    <n v="947"/>
    <x v="293"/>
    <x v="946"/>
    <x v="3"/>
    <x v="1"/>
    <x v="11"/>
    <x v="2"/>
    <x v="0"/>
    <n v="421"/>
    <n v="1263"/>
  </r>
  <r>
    <n v="948"/>
    <x v="262"/>
    <x v="947"/>
    <x v="2"/>
    <x v="0"/>
    <x v="38"/>
    <x v="3"/>
    <x v="4"/>
    <n v="354"/>
    <n v="1770"/>
  </r>
  <r>
    <n v="949"/>
    <x v="257"/>
    <x v="948"/>
    <x v="3"/>
    <x v="0"/>
    <x v="16"/>
    <x v="0"/>
    <x v="4"/>
    <n v="84"/>
    <n v="420"/>
  </r>
  <r>
    <n v="950"/>
    <x v="300"/>
    <x v="949"/>
    <x v="3"/>
    <x v="1"/>
    <x v="35"/>
    <x v="4"/>
    <x v="0"/>
    <n v="315"/>
    <n v="945"/>
  </r>
  <r>
    <n v="951"/>
    <x v="253"/>
    <x v="950"/>
    <x v="1"/>
    <x v="0"/>
    <x v="40"/>
    <x v="1"/>
    <x v="0"/>
    <n v="296"/>
    <n v="888"/>
  </r>
  <r>
    <n v="952"/>
    <x v="289"/>
    <x v="951"/>
    <x v="2"/>
    <x v="1"/>
    <x v="23"/>
    <x v="2"/>
    <x v="1"/>
    <n v="458"/>
    <n v="1832"/>
  </r>
  <r>
    <n v="953"/>
    <x v="114"/>
    <x v="952"/>
    <x v="1"/>
    <x v="0"/>
    <x v="27"/>
    <x v="2"/>
    <x v="0"/>
    <n v="374"/>
    <n v="1122"/>
  </r>
  <r>
    <n v="954"/>
    <x v="48"/>
    <x v="953"/>
    <x v="1"/>
    <x v="0"/>
    <x v="27"/>
    <x v="4"/>
    <x v="2"/>
    <n v="244"/>
    <n v="488"/>
  </r>
  <r>
    <n v="955"/>
    <x v="180"/>
    <x v="954"/>
    <x v="0"/>
    <x v="0"/>
    <x v="14"/>
    <x v="0"/>
    <x v="4"/>
    <n v="365"/>
    <n v="1825"/>
  </r>
  <r>
    <n v="956"/>
    <x v="288"/>
    <x v="955"/>
    <x v="0"/>
    <x v="1"/>
    <x v="12"/>
    <x v="2"/>
    <x v="0"/>
    <n v="209"/>
    <n v="627"/>
  </r>
  <r>
    <n v="957"/>
    <x v="159"/>
    <x v="956"/>
    <x v="2"/>
    <x v="1"/>
    <x v="36"/>
    <x v="2"/>
    <x v="4"/>
    <n v="278"/>
    <n v="1390"/>
  </r>
  <r>
    <n v="958"/>
    <x v="85"/>
    <x v="957"/>
    <x v="2"/>
    <x v="1"/>
    <x v="9"/>
    <x v="4"/>
    <x v="1"/>
    <n v="486"/>
    <n v="1944"/>
  </r>
  <r>
    <n v="959"/>
    <x v="110"/>
    <x v="958"/>
    <x v="0"/>
    <x v="1"/>
    <x v="18"/>
    <x v="0"/>
    <x v="4"/>
    <n v="311"/>
    <n v="1555"/>
  </r>
  <r>
    <n v="960"/>
    <x v="14"/>
    <x v="959"/>
    <x v="0"/>
    <x v="1"/>
    <x v="37"/>
    <x v="2"/>
    <x v="2"/>
    <n v="167"/>
    <n v="334"/>
  </r>
  <r>
    <n v="961"/>
    <x v="9"/>
    <x v="960"/>
    <x v="0"/>
    <x v="1"/>
    <x v="13"/>
    <x v="1"/>
    <x v="0"/>
    <n v="159"/>
    <n v="477"/>
  </r>
  <r>
    <n v="962"/>
    <x v="219"/>
    <x v="961"/>
    <x v="0"/>
    <x v="0"/>
    <x v="10"/>
    <x v="0"/>
    <x v="2"/>
    <n v="20"/>
    <n v="40"/>
  </r>
  <r>
    <n v="963"/>
    <x v="247"/>
    <x v="962"/>
    <x v="0"/>
    <x v="0"/>
    <x v="41"/>
    <x v="0"/>
    <x v="2"/>
    <n v="495"/>
    <n v="990"/>
  </r>
  <r>
    <n v="964"/>
    <x v="52"/>
    <x v="963"/>
    <x v="1"/>
    <x v="0"/>
    <x v="19"/>
    <x v="3"/>
    <x v="0"/>
    <n v="171"/>
    <n v="513"/>
  </r>
  <r>
    <n v="965"/>
    <x v="307"/>
    <x v="964"/>
    <x v="2"/>
    <x v="0"/>
    <x v="16"/>
    <x v="0"/>
    <x v="2"/>
    <n v="151"/>
    <n v="302"/>
  </r>
  <r>
    <n v="966"/>
    <x v="177"/>
    <x v="965"/>
    <x v="1"/>
    <x v="0"/>
    <x v="0"/>
    <x v="4"/>
    <x v="3"/>
    <n v="180"/>
    <n v="180"/>
  </r>
  <r>
    <n v="967"/>
    <x v="313"/>
    <x v="966"/>
    <x v="1"/>
    <x v="1"/>
    <x v="6"/>
    <x v="0"/>
    <x v="1"/>
    <n v="107"/>
    <n v="428"/>
  </r>
  <r>
    <n v="968"/>
    <x v="115"/>
    <x v="967"/>
    <x v="3"/>
    <x v="1"/>
    <x v="37"/>
    <x v="1"/>
    <x v="1"/>
    <n v="491"/>
    <n v="1964"/>
  </r>
  <r>
    <n v="969"/>
    <x v="263"/>
    <x v="968"/>
    <x v="1"/>
    <x v="1"/>
    <x v="42"/>
    <x v="1"/>
    <x v="2"/>
    <n v="106"/>
    <n v="212"/>
  </r>
  <r>
    <n v="970"/>
    <x v="138"/>
    <x v="969"/>
    <x v="0"/>
    <x v="1"/>
    <x v="31"/>
    <x v="4"/>
    <x v="2"/>
    <n v="259"/>
    <n v="518"/>
  </r>
  <r>
    <n v="971"/>
    <x v="271"/>
    <x v="970"/>
    <x v="0"/>
    <x v="1"/>
    <x v="19"/>
    <x v="4"/>
    <x v="2"/>
    <n v="399"/>
    <n v="798"/>
  </r>
  <r>
    <n v="972"/>
    <x v="128"/>
    <x v="971"/>
    <x v="3"/>
    <x v="0"/>
    <x v="22"/>
    <x v="1"/>
    <x v="1"/>
    <n v="256"/>
    <n v="1024"/>
  </r>
  <r>
    <n v="973"/>
    <x v="217"/>
    <x v="972"/>
    <x v="3"/>
    <x v="0"/>
    <x v="24"/>
    <x v="3"/>
    <x v="3"/>
    <n v="384"/>
    <n v="384"/>
  </r>
  <r>
    <n v="974"/>
    <x v="319"/>
    <x v="973"/>
    <x v="3"/>
    <x v="0"/>
    <x v="35"/>
    <x v="4"/>
    <x v="2"/>
    <n v="284"/>
    <n v="568"/>
  </r>
  <r>
    <n v="975"/>
    <x v="166"/>
    <x v="974"/>
    <x v="3"/>
    <x v="1"/>
    <x v="40"/>
    <x v="4"/>
    <x v="0"/>
    <n v="20"/>
    <n v="60"/>
  </r>
  <r>
    <n v="976"/>
    <x v="201"/>
    <x v="975"/>
    <x v="3"/>
    <x v="1"/>
    <x v="35"/>
    <x v="1"/>
    <x v="0"/>
    <n v="386"/>
    <n v="1158"/>
  </r>
  <r>
    <n v="977"/>
    <x v="285"/>
    <x v="976"/>
    <x v="1"/>
    <x v="0"/>
    <x v="7"/>
    <x v="3"/>
    <x v="0"/>
    <n v="47"/>
    <n v="141"/>
  </r>
  <r>
    <n v="978"/>
    <x v="165"/>
    <x v="977"/>
    <x v="3"/>
    <x v="0"/>
    <x v="8"/>
    <x v="3"/>
    <x v="0"/>
    <n v="195"/>
    <n v="585"/>
  </r>
  <r>
    <n v="979"/>
    <x v="316"/>
    <x v="978"/>
    <x v="1"/>
    <x v="0"/>
    <x v="20"/>
    <x v="4"/>
    <x v="4"/>
    <n v="56"/>
    <n v="280"/>
  </r>
  <r>
    <n v="980"/>
    <x v="160"/>
    <x v="979"/>
    <x v="2"/>
    <x v="1"/>
    <x v="7"/>
    <x v="2"/>
    <x v="4"/>
    <n v="247"/>
    <n v="1235"/>
  </r>
  <r>
    <n v="981"/>
    <x v="294"/>
    <x v="980"/>
    <x v="3"/>
    <x v="1"/>
    <x v="26"/>
    <x v="2"/>
    <x v="3"/>
    <n v="190"/>
    <n v="190"/>
  </r>
  <r>
    <n v="982"/>
    <x v="120"/>
    <x v="981"/>
    <x v="3"/>
    <x v="0"/>
    <x v="31"/>
    <x v="1"/>
    <x v="2"/>
    <n v="220"/>
    <n v="440"/>
  </r>
  <r>
    <n v="983"/>
    <x v="142"/>
    <x v="982"/>
    <x v="1"/>
    <x v="0"/>
    <x v="24"/>
    <x v="0"/>
    <x v="3"/>
    <n v="312"/>
    <n v="312"/>
  </r>
  <r>
    <n v="984"/>
    <x v="261"/>
    <x v="983"/>
    <x v="2"/>
    <x v="0"/>
    <x v="9"/>
    <x v="3"/>
    <x v="3"/>
    <n v="371"/>
    <n v="371"/>
  </r>
  <r>
    <n v="985"/>
    <x v="292"/>
    <x v="984"/>
    <x v="1"/>
    <x v="0"/>
    <x v="40"/>
    <x v="0"/>
    <x v="3"/>
    <n v="87"/>
    <n v="87"/>
  </r>
  <r>
    <n v="986"/>
    <x v="63"/>
    <x v="985"/>
    <x v="1"/>
    <x v="0"/>
    <x v="17"/>
    <x v="4"/>
    <x v="2"/>
    <n v="397"/>
    <n v="794"/>
  </r>
  <r>
    <n v="987"/>
    <x v="204"/>
    <x v="986"/>
    <x v="3"/>
    <x v="1"/>
    <x v="34"/>
    <x v="0"/>
    <x v="3"/>
    <n v="25"/>
    <n v="25"/>
  </r>
  <r>
    <n v="988"/>
    <x v="196"/>
    <x v="987"/>
    <x v="0"/>
    <x v="0"/>
    <x v="17"/>
    <x v="2"/>
    <x v="2"/>
    <n v="401"/>
    <n v="802"/>
  </r>
  <r>
    <n v="989"/>
    <x v="75"/>
    <x v="988"/>
    <x v="0"/>
    <x v="1"/>
    <x v="32"/>
    <x v="1"/>
    <x v="2"/>
    <n v="338"/>
    <n v="676"/>
  </r>
  <r>
    <n v="990"/>
    <x v="245"/>
    <x v="989"/>
    <x v="1"/>
    <x v="1"/>
    <x v="18"/>
    <x v="1"/>
    <x v="2"/>
    <n v="92"/>
    <n v="184"/>
  </r>
  <r>
    <n v="991"/>
    <x v="196"/>
    <x v="990"/>
    <x v="3"/>
    <x v="0"/>
    <x v="15"/>
    <x v="4"/>
    <x v="1"/>
    <n v="186"/>
    <n v="744"/>
  </r>
  <r>
    <n v="992"/>
    <x v="2"/>
    <x v="991"/>
    <x v="2"/>
    <x v="1"/>
    <x v="40"/>
    <x v="1"/>
    <x v="3"/>
    <n v="311"/>
    <n v="311"/>
  </r>
  <r>
    <n v="993"/>
    <x v="196"/>
    <x v="992"/>
    <x v="0"/>
    <x v="0"/>
    <x v="7"/>
    <x v="2"/>
    <x v="4"/>
    <n v="222"/>
    <n v="1110"/>
  </r>
  <r>
    <n v="994"/>
    <x v="88"/>
    <x v="993"/>
    <x v="2"/>
    <x v="1"/>
    <x v="17"/>
    <x v="0"/>
    <x v="3"/>
    <n v="204"/>
    <n v="204"/>
  </r>
  <r>
    <n v="995"/>
    <x v="166"/>
    <x v="994"/>
    <x v="0"/>
    <x v="0"/>
    <x v="2"/>
    <x v="3"/>
    <x v="1"/>
    <n v="453"/>
    <n v="1812"/>
  </r>
  <r>
    <n v="996"/>
    <x v="166"/>
    <x v="995"/>
    <x v="3"/>
    <x v="1"/>
    <x v="34"/>
    <x v="4"/>
    <x v="3"/>
    <n v="149"/>
    <n v="149"/>
  </r>
  <r>
    <n v="997"/>
    <x v="320"/>
    <x v="996"/>
    <x v="1"/>
    <x v="1"/>
    <x v="33"/>
    <x v="3"/>
    <x v="0"/>
    <n v="189"/>
    <n v="567"/>
  </r>
  <r>
    <n v="998"/>
    <x v="257"/>
    <x v="997"/>
    <x v="2"/>
    <x v="1"/>
    <x v="41"/>
    <x v="4"/>
    <x v="3"/>
    <n v="120"/>
    <n v="120"/>
  </r>
  <r>
    <n v="999"/>
    <x v="273"/>
    <x v="998"/>
    <x v="2"/>
    <x v="0"/>
    <x v="4"/>
    <x v="1"/>
    <x v="3"/>
    <n v="444"/>
    <n v="444"/>
  </r>
  <r>
    <n v="1000"/>
    <x v="321"/>
    <x v="999"/>
    <x v="1"/>
    <x v="0"/>
    <x v="6"/>
    <x v="2"/>
    <x v="0"/>
    <n v="205"/>
    <n v="6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x v="0"/>
    <x v="0"/>
    <x v="0"/>
    <x v="0"/>
    <n v="318"/>
    <n v="954"/>
  </r>
  <r>
    <n v="2"/>
    <x v="1"/>
    <s v="CUST002"/>
    <x v="1"/>
    <x v="0"/>
    <x v="1"/>
    <x v="1"/>
    <x v="0"/>
    <n v="433"/>
    <n v="1299"/>
  </r>
  <r>
    <n v="3"/>
    <x v="2"/>
    <s v="CUST003"/>
    <x v="0"/>
    <x v="1"/>
    <x v="2"/>
    <x v="2"/>
    <x v="1"/>
    <n v="424"/>
    <n v="1696"/>
  </r>
  <r>
    <n v="4"/>
    <x v="3"/>
    <s v="CUST004"/>
    <x v="1"/>
    <x v="0"/>
    <x v="3"/>
    <x v="0"/>
    <x v="2"/>
    <n v="106"/>
    <n v="212"/>
  </r>
  <r>
    <n v="5"/>
    <x v="4"/>
    <s v="CUST005"/>
    <x v="1"/>
    <x v="0"/>
    <x v="4"/>
    <x v="3"/>
    <x v="3"/>
    <n v="300"/>
    <n v="300"/>
  </r>
  <r>
    <n v="6"/>
    <x v="5"/>
    <s v="CUST006"/>
    <x v="0"/>
    <x v="0"/>
    <x v="5"/>
    <x v="2"/>
    <x v="1"/>
    <n v="164"/>
    <n v="656"/>
  </r>
  <r>
    <n v="7"/>
    <x v="6"/>
    <s v="CUST007"/>
    <x v="2"/>
    <x v="0"/>
    <x v="6"/>
    <x v="3"/>
    <x v="0"/>
    <n v="107"/>
    <n v="321"/>
  </r>
  <r>
    <n v="8"/>
    <x v="7"/>
    <s v="CUST008"/>
    <x v="1"/>
    <x v="1"/>
    <x v="4"/>
    <x v="4"/>
    <x v="4"/>
    <n v="494"/>
    <n v="2470"/>
  </r>
  <r>
    <n v="9"/>
    <x v="8"/>
    <s v="CUST009"/>
    <x v="0"/>
    <x v="0"/>
    <x v="7"/>
    <x v="4"/>
    <x v="2"/>
    <n v="143"/>
    <n v="286"/>
  </r>
  <r>
    <n v="10"/>
    <x v="9"/>
    <s v="CUST010"/>
    <x v="3"/>
    <x v="0"/>
    <x v="8"/>
    <x v="1"/>
    <x v="3"/>
    <n v="295"/>
    <n v="295"/>
  </r>
  <r>
    <n v="11"/>
    <x v="10"/>
    <s v="CUST011"/>
    <x v="0"/>
    <x v="0"/>
    <x v="9"/>
    <x v="0"/>
    <x v="1"/>
    <n v="292"/>
    <n v="1168"/>
  </r>
  <r>
    <n v="12"/>
    <x v="11"/>
    <s v="CUST012"/>
    <x v="3"/>
    <x v="1"/>
    <x v="0"/>
    <x v="2"/>
    <x v="2"/>
    <n v="443"/>
    <n v="886"/>
  </r>
  <r>
    <n v="13"/>
    <x v="12"/>
    <s v="CUST013"/>
    <x v="1"/>
    <x v="0"/>
    <x v="10"/>
    <x v="0"/>
    <x v="1"/>
    <n v="411"/>
    <n v="1644"/>
  </r>
  <r>
    <n v="14"/>
    <x v="13"/>
    <s v="CUST014"/>
    <x v="0"/>
    <x v="1"/>
    <x v="2"/>
    <x v="3"/>
    <x v="3"/>
    <n v="274"/>
    <n v="274"/>
  </r>
  <r>
    <n v="15"/>
    <x v="14"/>
    <s v="CUST015"/>
    <x v="0"/>
    <x v="0"/>
    <x v="11"/>
    <x v="4"/>
    <x v="2"/>
    <n v="287"/>
    <n v="574"/>
  </r>
  <r>
    <n v="16"/>
    <x v="15"/>
    <s v="CUST016"/>
    <x v="3"/>
    <x v="0"/>
    <x v="12"/>
    <x v="4"/>
    <x v="4"/>
    <n v="205"/>
    <n v="1025"/>
  </r>
  <r>
    <n v="17"/>
    <x v="16"/>
    <s v="CUST017"/>
    <x v="0"/>
    <x v="0"/>
    <x v="4"/>
    <x v="1"/>
    <x v="1"/>
    <n v="278"/>
    <n v="1112"/>
  </r>
  <r>
    <n v="18"/>
    <x v="17"/>
    <s v="CUST018"/>
    <x v="0"/>
    <x v="0"/>
    <x v="8"/>
    <x v="4"/>
    <x v="0"/>
    <n v="304"/>
    <n v="912"/>
  </r>
  <r>
    <n v="19"/>
    <x v="18"/>
    <s v="CUST019"/>
    <x v="1"/>
    <x v="1"/>
    <x v="0"/>
    <x v="3"/>
    <x v="4"/>
    <n v="44"/>
    <n v="220"/>
  </r>
  <r>
    <n v="20"/>
    <x v="19"/>
    <s v="CUST020"/>
    <x v="0"/>
    <x v="1"/>
    <x v="13"/>
    <x v="1"/>
    <x v="0"/>
    <n v="412"/>
    <n v="1236"/>
  </r>
  <r>
    <n v="21"/>
    <x v="20"/>
    <s v="CUST021"/>
    <x v="2"/>
    <x v="1"/>
    <x v="1"/>
    <x v="0"/>
    <x v="1"/>
    <n v="103"/>
    <n v="412"/>
  </r>
  <r>
    <n v="22"/>
    <x v="21"/>
    <s v="CUST022"/>
    <x v="3"/>
    <x v="1"/>
    <x v="14"/>
    <x v="2"/>
    <x v="2"/>
    <n v="55"/>
    <n v="110"/>
  </r>
  <r>
    <n v="23"/>
    <x v="22"/>
    <s v="CUST023"/>
    <x v="0"/>
    <x v="1"/>
    <x v="15"/>
    <x v="0"/>
    <x v="1"/>
    <n v="298"/>
    <n v="1192"/>
  </r>
  <r>
    <n v="24"/>
    <x v="23"/>
    <s v="CUST024"/>
    <x v="3"/>
    <x v="1"/>
    <x v="16"/>
    <x v="0"/>
    <x v="3"/>
    <n v="232"/>
    <n v="232"/>
  </r>
  <r>
    <n v="25"/>
    <x v="24"/>
    <s v="CUST025"/>
    <x v="3"/>
    <x v="0"/>
    <x v="12"/>
    <x v="4"/>
    <x v="1"/>
    <n v="400"/>
    <n v="1600"/>
  </r>
  <r>
    <n v="26"/>
    <x v="25"/>
    <s v="CUST026"/>
    <x v="3"/>
    <x v="1"/>
    <x v="17"/>
    <x v="4"/>
    <x v="0"/>
    <n v="292"/>
    <n v="876"/>
  </r>
  <r>
    <n v="27"/>
    <x v="26"/>
    <s v="CUST027"/>
    <x v="0"/>
    <x v="1"/>
    <x v="18"/>
    <x v="0"/>
    <x v="0"/>
    <n v="237"/>
    <n v="711"/>
  </r>
  <r>
    <n v="28"/>
    <x v="27"/>
    <s v="CUST028"/>
    <x v="0"/>
    <x v="0"/>
    <x v="14"/>
    <x v="1"/>
    <x v="3"/>
    <n v="208"/>
    <n v="208"/>
  </r>
  <r>
    <n v="29"/>
    <x v="28"/>
    <s v="CUST029"/>
    <x v="3"/>
    <x v="0"/>
    <x v="18"/>
    <x v="3"/>
    <x v="4"/>
    <n v="464"/>
    <n v="2320"/>
  </r>
  <r>
    <n v="30"/>
    <x v="29"/>
    <s v="CUST030"/>
    <x v="2"/>
    <x v="1"/>
    <x v="11"/>
    <x v="4"/>
    <x v="3"/>
    <n v="95"/>
    <n v="95"/>
  </r>
  <r>
    <n v="31"/>
    <x v="30"/>
    <s v="CUST031"/>
    <x v="3"/>
    <x v="1"/>
    <x v="19"/>
    <x v="2"/>
    <x v="0"/>
    <n v="316"/>
    <n v="948"/>
  </r>
  <r>
    <n v="32"/>
    <x v="31"/>
    <s v="CUST032"/>
    <x v="2"/>
    <x v="1"/>
    <x v="15"/>
    <x v="1"/>
    <x v="0"/>
    <n v="102"/>
    <n v="306"/>
  </r>
  <r>
    <n v="33"/>
    <x v="32"/>
    <s v="CUST033"/>
    <x v="3"/>
    <x v="1"/>
    <x v="16"/>
    <x v="4"/>
    <x v="0"/>
    <n v="327"/>
    <n v="981"/>
  </r>
  <r>
    <n v="34"/>
    <x v="33"/>
    <s v="CUST034"/>
    <x v="1"/>
    <x v="1"/>
    <x v="10"/>
    <x v="1"/>
    <x v="1"/>
    <n v="267"/>
    <n v="1068"/>
  </r>
  <r>
    <n v="35"/>
    <x v="34"/>
    <s v="CUST035"/>
    <x v="3"/>
    <x v="1"/>
    <x v="20"/>
    <x v="2"/>
    <x v="2"/>
    <n v="380"/>
    <n v="760"/>
  </r>
  <r>
    <n v="36"/>
    <x v="35"/>
    <s v="CUST036"/>
    <x v="3"/>
    <x v="1"/>
    <x v="8"/>
    <x v="2"/>
    <x v="1"/>
    <n v="347"/>
    <n v="1388"/>
  </r>
  <r>
    <n v="37"/>
    <x v="36"/>
    <s v="CUST037"/>
    <x v="0"/>
    <x v="0"/>
    <x v="21"/>
    <x v="3"/>
    <x v="3"/>
    <n v="196"/>
    <n v="196"/>
  </r>
  <r>
    <n v="38"/>
    <x v="37"/>
    <s v="CUST038"/>
    <x v="2"/>
    <x v="1"/>
    <x v="15"/>
    <x v="3"/>
    <x v="2"/>
    <n v="276"/>
    <n v="552"/>
  </r>
  <r>
    <n v="39"/>
    <x v="38"/>
    <s v="CUST039"/>
    <x v="1"/>
    <x v="1"/>
    <x v="22"/>
    <x v="4"/>
    <x v="0"/>
    <n v="481"/>
    <n v="1443"/>
  </r>
  <r>
    <n v="40"/>
    <x v="39"/>
    <s v="CUST040"/>
    <x v="2"/>
    <x v="0"/>
    <x v="23"/>
    <x v="2"/>
    <x v="4"/>
    <n v="330"/>
    <n v="1650"/>
  </r>
  <r>
    <n v="41"/>
    <x v="40"/>
    <s v="CUST041"/>
    <x v="1"/>
    <x v="0"/>
    <x v="1"/>
    <x v="1"/>
    <x v="4"/>
    <n v="341"/>
    <n v="1705"/>
  </r>
  <r>
    <n v="42"/>
    <x v="41"/>
    <s v="CUST042"/>
    <x v="3"/>
    <x v="1"/>
    <x v="19"/>
    <x v="4"/>
    <x v="1"/>
    <n v="27"/>
    <n v="108"/>
  </r>
  <r>
    <n v="43"/>
    <x v="42"/>
    <s v="CUST043"/>
    <x v="0"/>
    <x v="0"/>
    <x v="15"/>
    <x v="0"/>
    <x v="3"/>
    <n v="472"/>
    <n v="472"/>
  </r>
  <r>
    <n v="44"/>
    <x v="43"/>
    <s v="CUST044"/>
    <x v="0"/>
    <x v="1"/>
    <x v="24"/>
    <x v="1"/>
    <x v="0"/>
    <n v="207"/>
    <n v="621"/>
  </r>
  <r>
    <n v="45"/>
    <x v="44"/>
    <s v="CUST045"/>
    <x v="2"/>
    <x v="0"/>
    <x v="2"/>
    <x v="2"/>
    <x v="1"/>
    <n v="148"/>
    <n v="592"/>
  </r>
  <r>
    <n v="46"/>
    <x v="45"/>
    <s v="CUST046"/>
    <x v="0"/>
    <x v="0"/>
    <x v="12"/>
    <x v="3"/>
    <x v="1"/>
    <n v="429"/>
    <n v="1716"/>
  </r>
  <r>
    <n v="47"/>
    <x v="46"/>
    <s v="CUST047"/>
    <x v="2"/>
    <x v="0"/>
    <x v="9"/>
    <x v="4"/>
    <x v="1"/>
    <n v="121"/>
    <n v="484"/>
  </r>
  <r>
    <n v="48"/>
    <x v="47"/>
    <s v="CUST048"/>
    <x v="2"/>
    <x v="1"/>
    <x v="2"/>
    <x v="0"/>
    <x v="0"/>
    <n v="143"/>
    <n v="429"/>
  </r>
  <r>
    <n v="49"/>
    <x v="48"/>
    <s v="CUST049"/>
    <x v="1"/>
    <x v="0"/>
    <x v="25"/>
    <x v="1"/>
    <x v="2"/>
    <n v="282"/>
    <n v="564"/>
  </r>
  <r>
    <n v="50"/>
    <x v="49"/>
    <s v="CUST050"/>
    <x v="2"/>
    <x v="1"/>
    <x v="23"/>
    <x v="0"/>
    <x v="0"/>
    <n v="327"/>
    <n v="981"/>
  </r>
  <r>
    <n v="51"/>
    <x v="50"/>
    <s v="CUST051"/>
    <x v="1"/>
    <x v="0"/>
    <x v="10"/>
    <x v="0"/>
    <x v="3"/>
    <n v="351"/>
    <n v="351"/>
  </r>
  <r>
    <n v="52"/>
    <x v="51"/>
    <s v="CUST052"/>
    <x v="0"/>
    <x v="1"/>
    <x v="20"/>
    <x v="3"/>
    <x v="0"/>
    <n v="35"/>
    <n v="105"/>
  </r>
  <r>
    <n v="53"/>
    <x v="52"/>
    <s v="CUST053"/>
    <x v="2"/>
    <x v="1"/>
    <x v="5"/>
    <x v="1"/>
    <x v="1"/>
    <n v="269"/>
    <n v="1076"/>
  </r>
  <r>
    <n v="54"/>
    <x v="53"/>
    <s v="CUST054"/>
    <x v="2"/>
    <x v="0"/>
    <x v="26"/>
    <x v="3"/>
    <x v="2"/>
    <n v="85"/>
    <n v="170"/>
  </r>
  <r>
    <n v="55"/>
    <x v="54"/>
    <s v="CUST055"/>
    <x v="3"/>
    <x v="0"/>
    <x v="27"/>
    <x v="1"/>
    <x v="0"/>
    <n v="359"/>
    <n v="1077"/>
  </r>
  <r>
    <n v="56"/>
    <x v="55"/>
    <s v="CUST056"/>
    <x v="2"/>
    <x v="1"/>
    <x v="13"/>
    <x v="0"/>
    <x v="3"/>
    <n v="459"/>
    <n v="459"/>
  </r>
  <r>
    <n v="57"/>
    <x v="56"/>
    <s v="CUST057"/>
    <x v="2"/>
    <x v="0"/>
    <x v="27"/>
    <x v="4"/>
    <x v="1"/>
    <n v="257"/>
    <n v="1028"/>
  </r>
  <r>
    <n v="58"/>
    <x v="57"/>
    <s v="CUST058"/>
    <x v="3"/>
    <x v="0"/>
    <x v="2"/>
    <x v="4"/>
    <x v="0"/>
    <n v="258"/>
    <n v="774"/>
  </r>
  <r>
    <n v="59"/>
    <x v="58"/>
    <s v="CUST059"/>
    <x v="3"/>
    <x v="1"/>
    <x v="13"/>
    <x v="1"/>
    <x v="1"/>
    <n v="416"/>
    <n v="1664"/>
  </r>
  <r>
    <n v="60"/>
    <x v="59"/>
    <s v="CUST060"/>
    <x v="0"/>
    <x v="1"/>
    <x v="4"/>
    <x v="0"/>
    <x v="4"/>
    <n v="404"/>
    <n v="2020"/>
  </r>
  <r>
    <n v="61"/>
    <x v="60"/>
    <s v="CUST061"/>
    <x v="2"/>
    <x v="1"/>
    <x v="28"/>
    <x v="1"/>
    <x v="1"/>
    <n v="242"/>
    <n v="968"/>
  </r>
  <r>
    <n v="62"/>
    <x v="61"/>
    <s v="CUST062"/>
    <x v="0"/>
    <x v="1"/>
    <x v="18"/>
    <x v="4"/>
    <x v="4"/>
    <n v="221"/>
    <n v="1105"/>
  </r>
  <r>
    <n v="63"/>
    <x v="62"/>
    <s v="CUST063"/>
    <x v="0"/>
    <x v="0"/>
    <x v="17"/>
    <x v="1"/>
    <x v="2"/>
    <n v="318"/>
    <n v="636"/>
  </r>
  <r>
    <n v="64"/>
    <x v="63"/>
    <s v="CUST064"/>
    <x v="3"/>
    <x v="0"/>
    <x v="16"/>
    <x v="0"/>
    <x v="3"/>
    <n v="33"/>
    <n v="33"/>
  </r>
  <r>
    <n v="65"/>
    <x v="64"/>
    <s v="CUST065"/>
    <x v="1"/>
    <x v="0"/>
    <x v="21"/>
    <x v="4"/>
    <x v="2"/>
    <n v="321"/>
    <n v="642"/>
  </r>
  <r>
    <n v="66"/>
    <x v="65"/>
    <s v="CUST066"/>
    <x v="0"/>
    <x v="0"/>
    <x v="29"/>
    <x v="3"/>
    <x v="2"/>
    <n v="340"/>
    <n v="680"/>
  </r>
  <r>
    <n v="67"/>
    <x v="66"/>
    <s v="CUST067"/>
    <x v="1"/>
    <x v="1"/>
    <x v="30"/>
    <x v="1"/>
    <x v="1"/>
    <n v="266"/>
    <n v="1064"/>
  </r>
  <r>
    <n v="68"/>
    <x v="67"/>
    <s v="CUST068"/>
    <x v="2"/>
    <x v="1"/>
    <x v="25"/>
    <x v="2"/>
    <x v="3"/>
    <n v="246"/>
    <n v="246"/>
  </r>
  <r>
    <n v="69"/>
    <x v="68"/>
    <s v="CUST069"/>
    <x v="3"/>
    <x v="0"/>
    <x v="28"/>
    <x v="4"/>
    <x v="2"/>
    <n v="235"/>
    <n v="470"/>
  </r>
  <r>
    <n v="70"/>
    <x v="69"/>
    <s v="CUST070"/>
    <x v="2"/>
    <x v="0"/>
    <x v="31"/>
    <x v="2"/>
    <x v="3"/>
    <n v="45"/>
    <n v="45"/>
  </r>
  <r>
    <n v="71"/>
    <x v="70"/>
    <s v="CUST071"/>
    <x v="2"/>
    <x v="0"/>
    <x v="8"/>
    <x v="2"/>
    <x v="4"/>
    <n v="26"/>
    <n v="130"/>
  </r>
  <r>
    <n v="72"/>
    <x v="71"/>
    <s v="CUST072"/>
    <x v="3"/>
    <x v="1"/>
    <x v="11"/>
    <x v="0"/>
    <x v="0"/>
    <n v="483"/>
    <n v="1449"/>
  </r>
  <r>
    <n v="73"/>
    <x v="72"/>
    <s v="CUST073"/>
    <x v="2"/>
    <x v="0"/>
    <x v="9"/>
    <x v="4"/>
    <x v="3"/>
    <n v="359"/>
    <n v="359"/>
  </r>
  <r>
    <n v="74"/>
    <x v="73"/>
    <s v="CUST074"/>
    <x v="3"/>
    <x v="0"/>
    <x v="11"/>
    <x v="2"/>
    <x v="1"/>
    <n v="154"/>
    <n v="616"/>
  </r>
  <r>
    <n v="75"/>
    <x v="74"/>
    <s v="CUST075"/>
    <x v="1"/>
    <x v="0"/>
    <x v="3"/>
    <x v="2"/>
    <x v="2"/>
    <n v="49"/>
    <n v="98"/>
  </r>
  <r>
    <n v="76"/>
    <x v="75"/>
    <s v="CUST076"/>
    <x v="2"/>
    <x v="1"/>
    <x v="16"/>
    <x v="2"/>
    <x v="1"/>
    <n v="25"/>
    <n v="100"/>
  </r>
  <r>
    <n v="77"/>
    <x v="76"/>
    <s v="CUST077"/>
    <x v="3"/>
    <x v="1"/>
    <x v="32"/>
    <x v="2"/>
    <x v="4"/>
    <n v="301"/>
    <n v="1505"/>
  </r>
  <r>
    <n v="78"/>
    <x v="77"/>
    <s v="CUST078"/>
    <x v="0"/>
    <x v="1"/>
    <x v="22"/>
    <x v="2"/>
    <x v="2"/>
    <n v="437"/>
    <n v="874"/>
  </r>
  <r>
    <n v="79"/>
    <x v="78"/>
    <s v="CUST079"/>
    <x v="2"/>
    <x v="1"/>
    <x v="15"/>
    <x v="1"/>
    <x v="0"/>
    <n v="453"/>
    <n v="1359"/>
  </r>
  <r>
    <n v="80"/>
    <x v="79"/>
    <s v="CUST080"/>
    <x v="1"/>
    <x v="0"/>
    <x v="33"/>
    <x v="3"/>
    <x v="2"/>
    <n v="451"/>
    <n v="902"/>
  </r>
  <r>
    <n v="81"/>
    <x v="80"/>
    <s v="CUST081"/>
    <x v="3"/>
    <x v="1"/>
    <x v="18"/>
    <x v="1"/>
    <x v="0"/>
    <n v="418"/>
    <n v="1254"/>
  </r>
  <r>
    <n v="82"/>
    <x v="81"/>
    <s v="CUST082"/>
    <x v="2"/>
    <x v="1"/>
    <x v="22"/>
    <x v="4"/>
    <x v="4"/>
    <n v="107"/>
    <n v="535"/>
  </r>
  <r>
    <n v="83"/>
    <x v="82"/>
    <s v="CUST083"/>
    <x v="2"/>
    <x v="1"/>
    <x v="24"/>
    <x v="3"/>
    <x v="4"/>
    <n v="209"/>
    <n v="1045"/>
  </r>
  <r>
    <n v="84"/>
    <x v="83"/>
    <s v="CUST084"/>
    <x v="2"/>
    <x v="0"/>
    <x v="34"/>
    <x v="1"/>
    <x v="0"/>
    <n v="118"/>
    <n v="354"/>
  </r>
  <r>
    <n v="85"/>
    <x v="84"/>
    <s v="CUST085"/>
    <x v="1"/>
    <x v="0"/>
    <x v="9"/>
    <x v="3"/>
    <x v="0"/>
    <n v="38"/>
    <n v="114"/>
  </r>
  <r>
    <n v="86"/>
    <x v="85"/>
    <s v="CUST086"/>
    <x v="3"/>
    <x v="0"/>
    <x v="24"/>
    <x v="0"/>
    <x v="0"/>
    <n v="156"/>
    <n v="468"/>
  </r>
  <r>
    <n v="87"/>
    <x v="86"/>
    <s v="CUST087"/>
    <x v="0"/>
    <x v="1"/>
    <x v="35"/>
    <x v="2"/>
    <x v="3"/>
    <n v="463"/>
    <n v="463"/>
  </r>
  <r>
    <n v="88"/>
    <x v="87"/>
    <s v="CUST088"/>
    <x v="0"/>
    <x v="0"/>
    <x v="14"/>
    <x v="0"/>
    <x v="4"/>
    <n v="151"/>
    <n v="755"/>
  </r>
  <r>
    <n v="89"/>
    <x v="88"/>
    <s v="CUST089"/>
    <x v="0"/>
    <x v="0"/>
    <x v="4"/>
    <x v="0"/>
    <x v="4"/>
    <n v="305"/>
    <n v="1525"/>
  </r>
  <r>
    <n v="90"/>
    <x v="89"/>
    <s v="CUST090"/>
    <x v="3"/>
    <x v="0"/>
    <x v="12"/>
    <x v="4"/>
    <x v="3"/>
    <n v="340"/>
    <n v="340"/>
  </r>
  <r>
    <n v="91"/>
    <x v="90"/>
    <s v="CUST091"/>
    <x v="0"/>
    <x v="1"/>
    <x v="11"/>
    <x v="2"/>
    <x v="1"/>
    <n v="324"/>
    <n v="1296"/>
  </r>
  <r>
    <n v="92"/>
    <x v="91"/>
    <s v="CUST092"/>
    <x v="1"/>
    <x v="0"/>
    <x v="36"/>
    <x v="3"/>
    <x v="0"/>
    <n v="122"/>
    <n v="366"/>
  </r>
  <r>
    <n v="93"/>
    <x v="92"/>
    <s v="CUST093"/>
    <x v="3"/>
    <x v="0"/>
    <x v="31"/>
    <x v="4"/>
    <x v="1"/>
    <n v="225"/>
    <n v="900"/>
  </r>
  <r>
    <n v="94"/>
    <x v="93"/>
    <s v="CUST094"/>
    <x v="2"/>
    <x v="0"/>
    <x v="9"/>
    <x v="4"/>
    <x v="3"/>
    <n v="314"/>
    <n v="314"/>
  </r>
  <r>
    <n v="95"/>
    <x v="94"/>
    <s v="CUST095"/>
    <x v="1"/>
    <x v="1"/>
    <x v="36"/>
    <x v="2"/>
    <x v="2"/>
    <n v="274"/>
    <n v="548"/>
  </r>
  <r>
    <n v="96"/>
    <x v="95"/>
    <s v="CUST096"/>
    <x v="2"/>
    <x v="0"/>
    <x v="30"/>
    <x v="1"/>
    <x v="0"/>
    <n v="281"/>
    <n v="843"/>
  </r>
  <r>
    <n v="97"/>
    <x v="96"/>
    <s v="CUST097"/>
    <x v="0"/>
    <x v="0"/>
    <x v="10"/>
    <x v="0"/>
    <x v="2"/>
    <n v="397"/>
    <n v="794"/>
  </r>
  <r>
    <n v="98"/>
    <x v="97"/>
    <s v="CUST098"/>
    <x v="1"/>
    <x v="0"/>
    <x v="21"/>
    <x v="2"/>
    <x v="0"/>
    <n v="395"/>
    <n v="1185"/>
  </r>
  <r>
    <n v="99"/>
    <x v="98"/>
    <s v="CUST099"/>
    <x v="3"/>
    <x v="1"/>
    <x v="34"/>
    <x v="0"/>
    <x v="2"/>
    <n v="67"/>
    <n v="134"/>
  </r>
  <r>
    <n v="100"/>
    <x v="99"/>
    <s v="CUST100"/>
    <x v="1"/>
    <x v="1"/>
    <x v="7"/>
    <x v="0"/>
    <x v="4"/>
    <n v="482"/>
    <n v="2410"/>
  </r>
  <r>
    <n v="101"/>
    <x v="100"/>
    <s v="CUST101"/>
    <x v="2"/>
    <x v="1"/>
    <x v="13"/>
    <x v="3"/>
    <x v="2"/>
    <n v="439"/>
    <n v="878"/>
  </r>
  <r>
    <n v="102"/>
    <x v="101"/>
    <s v="CUST102"/>
    <x v="3"/>
    <x v="0"/>
    <x v="19"/>
    <x v="3"/>
    <x v="4"/>
    <n v="245"/>
    <n v="1225"/>
  </r>
  <r>
    <n v="103"/>
    <x v="102"/>
    <s v="CUST103"/>
    <x v="1"/>
    <x v="0"/>
    <x v="30"/>
    <x v="1"/>
    <x v="0"/>
    <n v="303"/>
    <n v="909"/>
  </r>
  <r>
    <n v="104"/>
    <x v="103"/>
    <s v="CUST104"/>
    <x v="1"/>
    <x v="0"/>
    <x v="12"/>
    <x v="0"/>
    <x v="1"/>
    <n v="175"/>
    <n v="700"/>
  </r>
  <r>
    <n v="105"/>
    <x v="104"/>
    <s v="CUST105"/>
    <x v="1"/>
    <x v="1"/>
    <x v="30"/>
    <x v="4"/>
    <x v="4"/>
    <n v="406"/>
    <n v="2030"/>
  </r>
  <r>
    <n v="106"/>
    <x v="105"/>
    <s v="CUST106"/>
    <x v="1"/>
    <x v="0"/>
    <x v="21"/>
    <x v="0"/>
    <x v="1"/>
    <n v="497"/>
    <n v="1988"/>
  </r>
  <r>
    <n v="107"/>
    <x v="106"/>
    <s v="CUST107"/>
    <x v="3"/>
    <x v="0"/>
    <x v="5"/>
    <x v="2"/>
    <x v="0"/>
    <n v="99"/>
    <n v="297"/>
  </r>
  <r>
    <n v="108"/>
    <x v="107"/>
    <s v="CUST108"/>
    <x v="2"/>
    <x v="0"/>
    <x v="1"/>
    <x v="0"/>
    <x v="1"/>
    <n v="186"/>
    <n v="744"/>
  </r>
  <r>
    <n v="109"/>
    <x v="108"/>
    <s v="CUST109"/>
    <x v="1"/>
    <x v="0"/>
    <x v="24"/>
    <x v="2"/>
    <x v="3"/>
    <n v="157"/>
    <n v="157"/>
  </r>
  <r>
    <n v="110"/>
    <x v="109"/>
    <s v="CUST110"/>
    <x v="3"/>
    <x v="1"/>
    <x v="27"/>
    <x v="4"/>
    <x v="3"/>
    <n v="440"/>
    <n v="440"/>
  </r>
  <r>
    <n v="111"/>
    <x v="110"/>
    <s v="CUST111"/>
    <x v="2"/>
    <x v="1"/>
    <x v="9"/>
    <x v="0"/>
    <x v="3"/>
    <n v="85"/>
    <n v="85"/>
  </r>
  <r>
    <n v="112"/>
    <x v="111"/>
    <s v="CUST112"/>
    <x v="1"/>
    <x v="1"/>
    <x v="1"/>
    <x v="0"/>
    <x v="0"/>
    <n v="295"/>
    <n v="885"/>
  </r>
  <r>
    <n v="113"/>
    <x v="112"/>
    <s v="CUST113"/>
    <x v="2"/>
    <x v="1"/>
    <x v="34"/>
    <x v="3"/>
    <x v="2"/>
    <n v="366"/>
    <n v="732"/>
  </r>
  <r>
    <n v="114"/>
    <x v="113"/>
    <s v="CUST114"/>
    <x v="2"/>
    <x v="1"/>
    <x v="31"/>
    <x v="4"/>
    <x v="2"/>
    <n v="419"/>
    <n v="838"/>
  </r>
  <r>
    <n v="115"/>
    <x v="114"/>
    <s v="CUST115"/>
    <x v="3"/>
    <x v="0"/>
    <x v="8"/>
    <x v="1"/>
    <x v="1"/>
    <n v="28"/>
    <n v="112"/>
  </r>
  <r>
    <n v="116"/>
    <x v="115"/>
    <s v="CUST116"/>
    <x v="2"/>
    <x v="1"/>
    <x v="37"/>
    <x v="3"/>
    <x v="0"/>
    <n v="268"/>
    <n v="804"/>
  </r>
  <r>
    <n v="117"/>
    <x v="116"/>
    <s v="CUST117"/>
    <x v="3"/>
    <x v="1"/>
    <x v="23"/>
    <x v="2"/>
    <x v="1"/>
    <n v="434"/>
    <n v="1736"/>
  </r>
  <r>
    <n v="118"/>
    <x v="117"/>
    <s v="CUST118"/>
    <x v="1"/>
    <x v="1"/>
    <x v="35"/>
    <x v="0"/>
    <x v="0"/>
    <n v="85"/>
    <n v="255"/>
  </r>
  <r>
    <n v="119"/>
    <x v="118"/>
    <s v="CUST119"/>
    <x v="2"/>
    <x v="1"/>
    <x v="10"/>
    <x v="0"/>
    <x v="0"/>
    <n v="121"/>
    <n v="363"/>
  </r>
  <r>
    <n v="120"/>
    <x v="119"/>
    <s v="CUST120"/>
    <x v="2"/>
    <x v="1"/>
    <x v="35"/>
    <x v="4"/>
    <x v="3"/>
    <n v="275"/>
    <n v="275"/>
  </r>
  <r>
    <n v="121"/>
    <x v="120"/>
    <s v="CUST121"/>
    <x v="0"/>
    <x v="0"/>
    <x v="7"/>
    <x v="0"/>
    <x v="2"/>
    <n v="160"/>
    <n v="320"/>
  </r>
  <r>
    <n v="122"/>
    <x v="121"/>
    <s v="CUST122"/>
    <x v="1"/>
    <x v="1"/>
    <x v="14"/>
    <x v="0"/>
    <x v="4"/>
    <n v="439"/>
    <n v="2195"/>
  </r>
  <r>
    <n v="123"/>
    <x v="122"/>
    <s v="CUST123"/>
    <x v="1"/>
    <x v="0"/>
    <x v="38"/>
    <x v="4"/>
    <x v="3"/>
    <n v="243"/>
    <n v="243"/>
  </r>
  <r>
    <n v="124"/>
    <x v="123"/>
    <s v="CUST124"/>
    <x v="0"/>
    <x v="0"/>
    <x v="10"/>
    <x v="1"/>
    <x v="3"/>
    <n v="460"/>
    <n v="460"/>
  </r>
  <r>
    <n v="125"/>
    <x v="124"/>
    <s v="CUST125"/>
    <x v="0"/>
    <x v="0"/>
    <x v="32"/>
    <x v="1"/>
    <x v="3"/>
    <n v="418"/>
    <n v="418"/>
  </r>
  <r>
    <n v="126"/>
    <x v="125"/>
    <s v="CUST126"/>
    <x v="3"/>
    <x v="0"/>
    <x v="32"/>
    <x v="0"/>
    <x v="1"/>
    <n v="325"/>
    <n v="1300"/>
  </r>
  <r>
    <n v="127"/>
    <x v="126"/>
    <s v="CUST127"/>
    <x v="3"/>
    <x v="1"/>
    <x v="12"/>
    <x v="4"/>
    <x v="1"/>
    <n v="455"/>
    <n v="1820"/>
  </r>
  <r>
    <n v="128"/>
    <x v="127"/>
    <s v="CUST128"/>
    <x v="2"/>
    <x v="0"/>
    <x v="2"/>
    <x v="2"/>
    <x v="1"/>
    <n v="152"/>
    <n v="608"/>
  </r>
  <r>
    <n v="129"/>
    <x v="128"/>
    <s v="CUST129"/>
    <x v="2"/>
    <x v="0"/>
    <x v="7"/>
    <x v="1"/>
    <x v="3"/>
    <n v="275"/>
    <n v="275"/>
  </r>
  <r>
    <n v="130"/>
    <x v="129"/>
    <s v="CUST130"/>
    <x v="2"/>
    <x v="0"/>
    <x v="15"/>
    <x v="4"/>
    <x v="2"/>
    <n v="258"/>
    <n v="516"/>
  </r>
  <r>
    <n v="131"/>
    <x v="130"/>
    <s v="CUST131"/>
    <x v="2"/>
    <x v="0"/>
    <x v="7"/>
    <x v="3"/>
    <x v="0"/>
    <n v="76"/>
    <n v="228"/>
  </r>
  <r>
    <n v="132"/>
    <x v="131"/>
    <s v="CUST132"/>
    <x v="3"/>
    <x v="0"/>
    <x v="38"/>
    <x v="3"/>
    <x v="1"/>
    <n v="119"/>
    <n v="476"/>
  </r>
  <r>
    <n v="133"/>
    <x v="132"/>
    <s v="CUST133"/>
    <x v="1"/>
    <x v="0"/>
    <x v="23"/>
    <x v="4"/>
    <x v="1"/>
    <n v="101"/>
    <n v="404"/>
  </r>
  <r>
    <n v="134"/>
    <x v="133"/>
    <s v="CUST134"/>
    <x v="2"/>
    <x v="1"/>
    <x v="28"/>
    <x v="1"/>
    <x v="1"/>
    <n v="58"/>
    <n v="232"/>
  </r>
  <r>
    <n v="135"/>
    <x v="134"/>
    <s v="CUST135"/>
    <x v="1"/>
    <x v="1"/>
    <x v="5"/>
    <x v="1"/>
    <x v="0"/>
    <n v="72"/>
    <n v="216"/>
  </r>
  <r>
    <n v="136"/>
    <x v="135"/>
    <s v="CUST136"/>
    <x v="2"/>
    <x v="1"/>
    <x v="9"/>
    <x v="0"/>
    <x v="0"/>
    <n v="22"/>
    <n v="66"/>
  </r>
  <r>
    <n v="137"/>
    <x v="136"/>
    <s v="CUST137"/>
    <x v="0"/>
    <x v="1"/>
    <x v="39"/>
    <x v="1"/>
    <x v="2"/>
    <n v="248"/>
    <n v="496"/>
  </r>
  <r>
    <n v="138"/>
    <x v="137"/>
    <s v="CUST138"/>
    <x v="2"/>
    <x v="1"/>
    <x v="8"/>
    <x v="2"/>
    <x v="3"/>
    <n v="311"/>
    <n v="311"/>
  </r>
  <r>
    <n v="139"/>
    <x v="138"/>
    <s v="CUST139"/>
    <x v="2"/>
    <x v="1"/>
    <x v="23"/>
    <x v="4"/>
    <x v="4"/>
    <n v="466"/>
    <n v="2330"/>
  </r>
  <r>
    <n v="140"/>
    <x v="139"/>
    <s v="CUST140"/>
    <x v="2"/>
    <x v="1"/>
    <x v="5"/>
    <x v="3"/>
    <x v="2"/>
    <n v="178"/>
    <n v="356"/>
  </r>
  <r>
    <n v="141"/>
    <x v="140"/>
    <s v="CUST141"/>
    <x v="3"/>
    <x v="1"/>
    <x v="31"/>
    <x v="1"/>
    <x v="0"/>
    <n v="36"/>
    <n v="108"/>
  </r>
  <r>
    <n v="142"/>
    <x v="141"/>
    <s v="CUST142"/>
    <x v="0"/>
    <x v="0"/>
    <x v="23"/>
    <x v="0"/>
    <x v="4"/>
    <n v="20"/>
    <n v="100"/>
  </r>
  <r>
    <n v="143"/>
    <x v="142"/>
    <s v="CUST143"/>
    <x v="2"/>
    <x v="0"/>
    <x v="7"/>
    <x v="4"/>
    <x v="4"/>
    <n v="210"/>
    <n v="1050"/>
  </r>
  <r>
    <n v="144"/>
    <x v="143"/>
    <s v="CUST144"/>
    <x v="2"/>
    <x v="0"/>
    <x v="3"/>
    <x v="3"/>
    <x v="1"/>
    <n v="437"/>
    <n v="1748"/>
  </r>
  <r>
    <n v="145"/>
    <x v="144"/>
    <s v="CUST145"/>
    <x v="1"/>
    <x v="0"/>
    <x v="28"/>
    <x v="2"/>
    <x v="3"/>
    <n v="174"/>
    <n v="174"/>
  </r>
  <r>
    <n v="146"/>
    <x v="145"/>
    <s v="CUST146"/>
    <x v="0"/>
    <x v="0"/>
    <x v="27"/>
    <x v="2"/>
    <x v="1"/>
    <n v="337"/>
    <n v="1348"/>
  </r>
  <r>
    <n v="147"/>
    <x v="146"/>
    <s v="CUST147"/>
    <x v="2"/>
    <x v="0"/>
    <x v="32"/>
    <x v="4"/>
    <x v="1"/>
    <n v="356"/>
    <n v="1424"/>
  </r>
  <r>
    <n v="148"/>
    <x v="147"/>
    <s v="CUST148"/>
    <x v="1"/>
    <x v="1"/>
    <x v="23"/>
    <x v="4"/>
    <x v="1"/>
    <n v="326"/>
    <n v="1304"/>
  </r>
  <r>
    <n v="149"/>
    <x v="148"/>
    <s v="CUST149"/>
    <x v="1"/>
    <x v="0"/>
    <x v="31"/>
    <x v="0"/>
    <x v="4"/>
    <n v="343"/>
    <n v="1715"/>
  </r>
  <r>
    <n v="150"/>
    <x v="149"/>
    <s v="CUST150"/>
    <x v="3"/>
    <x v="0"/>
    <x v="34"/>
    <x v="0"/>
    <x v="0"/>
    <n v="133"/>
    <n v="399"/>
  </r>
  <r>
    <n v="151"/>
    <x v="150"/>
    <s v="CUST151"/>
    <x v="1"/>
    <x v="0"/>
    <x v="35"/>
    <x v="2"/>
    <x v="4"/>
    <n v="483"/>
    <n v="2415"/>
  </r>
  <r>
    <n v="152"/>
    <x v="151"/>
    <s v="CUST152"/>
    <x v="2"/>
    <x v="1"/>
    <x v="14"/>
    <x v="1"/>
    <x v="4"/>
    <n v="454"/>
    <n v="2270"/>
  </r>
  <r>
    <n v="153"/>
    <x v="152"/>
    <s v="CUST153"/>
    <x v="3"/>
    <x v="0"/>
    <x v="40"/>
    <x v="4"/>
    <x v="2"/>
    <n v="293"/>
    <n v="586"/>
  </r>
  <r>
    <n v="154"/>
    <x v="153"/>
    <s v="CUST154"/>
    <x v="3"/>
    <x v="1"/>
    <x v="19"/>
    <x v="1"/>
    <x v="1"/>
    <n v="393"/>
    <n v="1572"/>
  </r>
  <r>
    <n v="155"/>
    <x v="154"/>
    <s v="CUST155"/>
    <x v="2"/>
    <x v="0"/>
    <x v="9"/>
    <x v="0"/>
    <x v="2"/>
    <n v="319"/>
    <n v="638"/>
  </r>
  <r>
    <n v="156"/>
    <x v="155"/>
    <s v="CUST156"/>
    <x v="0"/>
    <x v="0"/>
    <x v="15"/>
    <x v="1"/>
    <x v="2"/>
    <n v="182"/>
    <n v="364"/>
  </r>
  <r>
    <n v="157"/>
    <x v="156"/>
    <s v="CUST157"/>
    <x v="1"/>
    <x v="0"/>
    <x v="10"/>
    <x v="2"/>
    <x v="3"/>
    <n v="59"/>
    <n v="59"/>
  </r>
  <r>
    <n v="158"/>
    <x v="157"/>
    <s v="CUST158"/>
    <x v="3"/>
    <x v="1"/>
    <x v="41"/>
    <x v="1"/>
    <x v="2"/>
    <n v="475"/>
    <n v="950"/>
  </r>
  <r>
    <n v="159"/>
    <x v="158"/>
    <s v="CUST159"/>
    <x v="0"/>
    <x v="0"/>
    <x v="27"/>
    <x v="4"/>
    <x v="2"/>
    <n v="168"/>
    <n v="336"/>
  </r>
  <r>
    <n v="160"/>
    <x v="159"/>
    <s v="CUST160"/>
    <x v="2"/>
    <x v="1"/>
    <x v="9"/>
    <x v="0"/>
    <x v="2"/>
    <n v="76"/>
    <n v="152"/>
  </r>
  <r>
    <n v="161"/>
    <x v="160"/>
    <s v="CUST161"/>
    <x v="1"/>
    <x v="1"/>
    <x v="29"/>
    <x v="4"/>
    <x v="1"/>
    <n v="48"/>
    <n v="192"/>
  </r>
  <r>
    <n v="162"/>
    <x v="161"/>
    <s v="CUST162"/>
    <x v="1"/>
    <x v="0"/>
    <x v="29"/>
    <x v="2"/>
    <x v="3"/>
    <n v="64"/>
    <n v="64"/>
  </r>
  <r>
    <n v="163"/>
    <x v="162"/>
    <s v="CUST163"/>
    <x v="3"/>
    <x v="0"/>
    <x v="10"/>
    <x v="2"/>
    <x v="2"/>
    <n v="26"/>
    <n v="52"/>
  </r>
  <r>
    <n v="164"/>
    <x v="163"/>
    <s v="CUST164"/>
    <x v="1"/>
    <x v="1"/>
    <x v="38"/>
    <x v="3"/>
    <x v="2"/>
    <n v="270"/>
    <n v="540"/>
  </r>
  <r>
    <n v="165"/>
    <x v="164"/>
    <s v="CUST165"/>
    <x v="1"/>
    <x v="0"/>
    <x v="33"/>
    <x v="1"/>
    <x v="0"/>
    <n v="185"/>
    <n v="555"/>
  </r>
  <r>
    <n v="166"/>
    <x v="165"/>
    <s v="CUST166"/>
    <x v="1"/>
    <x v="1"/>
    <x v="12"/>
    <x v="2"/>
    <x v="3"/>
    <n v="472"/>
    <n v="472"/>
  </r>
  <r>
    <n v="167"/>
    <x v="166"/>
    <s v="CUST167"/>
    <x v="1"/>
    <x v="0"/>
    <x v="9"/>
    <x v="0"/>
    <x v="0"/>
    <n v="351"/>
    <n v="1053"/>
  </r>
  <r>
    <n v="168"/>
    <x v="167"/>
    <s v="CUST168"/>
    <x v="2"/>
    <x v="0"/>
    <x v="0"/>
    <x v="4"/>
    <x v="4"/>
    <n v="57"/>
    <n v="285"/>
  </r>
  <r>
    <n v="169"/>
    <x v="168"/>
    <s v="CUST169"/>
    <x v="0"/>
    <x v="0"/>
    <x v="6"/>
    <x v="0"/>
    <x v="0"/>
    <n v="119"/>
    <n v="357"/>
  </r>
  <r>
    <n v="170"/>
    <x v="169"/>
    <s v="CUST170"/>
    <x v="2"/>
    <x v="1"/>
    <x v="8"/>
    <x v="4"/>
    <x v="1"/>
    <n v="201"/>
    <n v="804"/>
  </r>
  <r>
    <n v="171"/>
    <x v="170"/>
    <s v="CUST171"/>
    <x v="2"/>
    <x v="1"/>
    <x v="22"/>
    <x v="1"/>
    <x v="2"/>
    <n v="234"/>
    <n v="468"/>
  </r>
  <r>
    <n v="172"/>
    <x v="171"/>
    <s v="CUST172"/>
    <x v="3"/>
    <x v="1"/>
    <x v="27"/>
    <x v="0"/>
    <x v="3"/>
    <n v="186"/>
    <n v="186"/>
  </r>
  <r>
    <n v="173"/>
    <x v="172"/>
    <s v="CUST173"/>
    <x v="1"/>
    <x v="1"/>
    <x v="15"/>
    <x v="4"/>
    <x v="1"/>
    <n v="413"/>
    <n v="1652"/>
  </r>
  <r>
    <n v="174"/>
    <x v="173"/>
    <s v="CUST174"/>
    <x v="2"/>
    <x v="0"/>
    <x v="3"/>
    <x v="2"/>
    <x v="0"/>
    <n v="232"/>
    <n v="696"/>
  </r>
  <r>
    <n v="175"/>
    <x v="174"/>
    <s v="CUST175"/>
    <x v="1"/>
    <x v="0"/>
    <x v="32"/>
    <x v="3"/>
    <x v="2"/>
    <n v="137"/>
    <n v="274"/>
  </r>
  <r>
    <n v="176"/>
    <x v="175"/>
    <s v="CUST176"/>
    <x v="2"/>
    <x v="1"/>
    <x v="27"/>
    <x v="0"/>
    <x v="3"/>
    <n v="109"/>
    <n v="109"/>
  </r>
  <r>
    <n v="177"/>
    <x v="176"/>
    <s v="CUST177"/>
    <x v="2"/>
    <x v="1"/>
    <x v="25"/>
    <x v="3"/>
    <x v="0"/>
    <n v="57"/>
    <n v="171"/>
  </r>
  <r>
    <n v="178"/>
    <x v="177"/>
    <s v="CUST178"/>
    <x v="3"/>
    <x v="1"/>
    <x v="31"/>
    <x v="3"/>
    <x v="0"/>
    <n v="121"/>
    <n v="363"/>
  </r>
  <r>
    <n v="179"/>
    <x v="178"/>
    <s v="CUST179"/>
    <x v="0"/>
    <x v="1"/>
    <x v="12"/>
    <x v="0"/>
    <x v="4"/>
    <n v="365"/>
    <n v="1825"/>
  </r>
  <r>
    <n v="180"/>
    <x v="179"/>
    <s v="CUST180"/>
    <x v="0"/>
    <x v="1"/>
    <x v="1"/>
    <x v="4"/>
    <x v="2"/>
    <n v="58"/>
    <n v="116"/>
  </r>
  <r>
    <n v="181"/>
    <x v="180"/>
    <s v="CUST181"/>
    <x v="2"/>
    <x v="0"/>
    <x v="23"/>
    <x v="1"/>
    <x v="2"/>
    <n v="500"/>
    <n v="1000"/>
  </r>
  <r>
    <n v="182"/>
    <x v="181"/>
    <s v="CUST182"/>
    <x v="3"/>
    <x v="0"/>
    <x v="2"/>
    <x v="4"/>
    <x v="3"/>
    <n v="68"/>
    <n v="68"/>
  </r>
  <r>
    <n v="183"/>
    <x v="182"/>
    <s v="CUST183"/>
    <x v="1"/>
    <x v="1"/>
    <x v="1"/>
    <x v="0"/>
    <x v="1"/>
    <n v="351"/>
    <n v="1404"/>
  </r>
  <r>
    <n v="184"/>
    <x v="183"/>
    <s v="CUST184"/>
    <x v="1"/>
    <x v="0"/>
    <x v="22"/>
    <x v="4"/>
    <x v="0"/>
    <n v="162"/>
    <n v="486"/>
  </r>
  <r>
    <n v="185"/>
    <x v="184"/>
    <s v="CUST185"/>
    <x v="2"/>
    <x v="1"/>
    <x v="26"/>
    <x v="2"/>
    <x v="4"/>
    <n v="162"/>
    <n v="810"/>
  </r>
  <r>
    <n v="186"/>
    <x v="185"/>
    <s v="CUST186"/>
    <x v="0"/>
    <x v="1"/>
    <x v="8"/>
    <x v="3"/>
    <x v="4"/>
    <n v="481"/>
    <n v="2405"/>
  </r>
  <r>
    <n v="187"/>
    <x v="186"/>
    <s v="CUST187"/>
    <x v="3"/>
    <x v="1"/>
    <x v="13"/>
    <x v="4"/>
    <x v="4"/>
    <n v="258"/>
    <n v="1290"/>
  </r>
  <r>
    <n v="188"/>
    <x v="187"/>
    <s v="CUST188"/>
    <x v="0"/>
    <x v="1"/>
    <x v="32"/>
    <x v="3"/>
    <x v="4"/>
    <n v="52"/>
    <n v="260"/>
  </r>
  <r>
    <n v="189"/>
    <x v="188"/>
    <s v="CUST189"/>
    <x v="1"/>
    <x v="1"/>
    <x v="39"/>
    <x v="3"/>
    <x v="0"/>
    <n v="63"/>
    <n v="189"/>
  </r>
  <r>
    <n v="190"/>
    <x v="189"/>
    <s v="CUST190"/>
    <x v="0"/>
    <x v="1"/>
    <x v="6"/>
    <x v="3"/>
    <x v="4"/>
    <n v="225"/>
    <n v="1125"/>
  </r>
  <r>
    <n v="191"/>
    <x v="190"/>
    <s v="CUST191"/>
    <x v="1"/>
    <x v="1"/>
    <x v="33"/>
    <x v="4"/>
    <x v="1"/>
    <n v="24"/>
    <n v="96"/>
  </r>
  <r>
    <n v="192"/>
    <x v="191"/>
    <s v="CUST192"/>
    <x v="3"/>
    <x v="1"/>
    <x v="31"/>
    <x v="3"/>
    <x v="2"/>
    <n v="292"/>
    <n v="584"/>
  </r>
  <r>
    <n v="193"/>
    <x v="192"/>
    <s v="CUST193"/>
    <x v="3"/>
    <x v="1"/>
    <x v="38"/>
    <x v="4"/>
    <x v="4"/>
    <n v="167"/>
    <n v="835"/>
  </r>
  <r>
    <n v="194"/>
    <x v="193"/>
    <s v="CUST194"/>
    <x v="2"/>
    <x v="0"/>
    <x v="6"/>
    <x v="2"/>
    <x v="1"/>
    <n v="491"/>
    <n v="1964"/>
  </r>
  <r>
    <n v="195"/>
    <x v="194"/>
    <s v="CUST195"/>
    <x v="2"/>
    <x v="0"/>
    <x v="26"/>
    <x v="0"/>
    <x v="3"/>
    <n v="140"/>
    <n v="140"/>
  </r>
  <r>
    <n v="196"/>
    <x v="195"/>
    <s v="CUST196"/>
    <x v="0"/>
    <x v="1"/>
    <x v="39"/>
    <x v="0"/>
    <x v="4"/>
    <n v="116"/>
    <n v="580"/>
  </r>
  <r>
    <n v="197"/>
    <x v="196"/>
    <s v="CUST197"/>
    <x v="3"/>
    <x v="1"/>
    <x v="36"/>
    <x v="1"/>
    <x v="2"/>
    <n v="43"/>
    <n v="86"/>
  </r>
  <r>
    <n v="198"/>
    <x v="197"/>
    <s v="CUST198"/>
    <x v="3"/>
    <x v="1"/>
    <x v="4"/>
    <x v="4"/>
    <x v="2"/>
    <n v="111"/>
    <n v="222"/>
  </r>
  <r>
    <n v="199"/>
    <x v="198"/>
    <s v="CUST199"/>
    <x v="2"/>
    <x v="0"/>
    <x v="34"/>
    <x v="0"/>
    <x v="4"/>
    <n v="459"/>
    <n v="2295"/>
  </r>
  <r>
    <n v="200"/>
    <x v="199"/>
    <s v="CUST200"/>
    <x v="1"/>
    <x v="0"/>
    <x v="38"/>
    <x v="1"/>
    <x v="2"/>
    <n v="333"/>
    <n v="666"/>
  </r>
  <r>
    <n v="201"/>
    <x v="200"/>
    <s v="CUST201"/>
    <x v="0"/>
    <x v="1"/>
    <x v="6"/>
    <x v="4"/>
    <x v="3"/>
    <n v="101"/>
    <n v="101"/>
  </r>
  <r>
    <n v="202"/>
    <x v="201"/>
    <s v="CUST202"/>
    <x v="0"/>
    <x v="1"/>
    <x v="23"/>
    <x v="3"/>
    <x v="3"/>
    <n v="308"/>
    <n v="308"/>
  </r>
  <r>
    <n v="203"/>
    <x v="202"/>
    <s v="CUST203"/>
    <x v="2"/>
    <x v="1"/>
    <x v="29"/>
    <x v="4"/>
    <x v="2"/>
    <n v="256"/>
    <n v="512"/>
  </r>
  <r>
    <n v="204"/>
    <x v="203"/>
    <s v="CUST204"/>
    <x v="3"/>
    <x v="0"/>
    <x v="4"/>
    <x v="2"/>
    <x v="3"/>
    <n v="169"/>
    <n v="169"/>
  </r>
  <r>
    <n v="205"/>
    <x v="204"/>
    <s v="CUST205"/>
    <x v="2"/>
    <x v="0"/>
    <x v="26"/>
    <x v="4"/>
    <x v="0"/>
    <n v="384"/>
    <n v="1152"/>
  </r>
  <r>
    <n v="206"/>
    <x v="205"/>
    <s v="CUST206"/>
    <x v="2"/>
    <x v="0"/>
    <x v="21"/>
    <x v="0"/>
    <x v="4"/>
    <n v="320"/>
    <n v="1600"/>
  </r>
  <r>
    <n v="207"/>
    <x v="206"/>
    <s v="CUST207"/>
    <x v="2"/>
    <x v="0"/>
    <x v="1"/>
    <x v="1"/>
    <x v="1"/>
    <n v="43"/>
    <n v="172"/>
  </r>
  <r>
    <n v="208"/>
    <x v="207"/>
    <s v="CUST208"/>
    <x v="2"/>
    <x v="0"/>
    <x v="30"/>
    <x v="0"/>
    <x v="4"/>
    <n v="118"/>
    <n v="590"/>
  </r>
  <r>
    <n v="209"/>
    <x v="208"/>
    <s v="CUST209"/>
    <x v="1"/>
    <x v="1"/>
    <x v="30"/>
    <x v="0"/>
    <x v="3"/>
    <n v="211"/>
    <n v="211"/>
  </r>
  <r>
    <n v="210"/>
    <x v="209"/>
    <s v="CUST210"/>
    <x v="1"/>
    <x v="0"/>
    <x v="19"/>
    <x v="3"/>
    <x v="4"/>
    <n v="239"/>
    <n v="1195"/>
  </r>
  <r>
    <n v="211"/>
    <x v="210"/>
    <s v="CUST211"/>
    <x v="3"/>
    <x v="0"/>
    <x v="35"/>
    <x v="4"/>
    <x v="2"/>
    <n v="165"/>
    <n v="330"/>
  </r>
  <r>
    <n v="212"/>
    <x v="211"/>
    <s v="CUST212"/>
    <x v="2"/>
    <x v="1"/>
    <x v="24"/>
    <x v="2"/>
    <x v="2"/>
    <n v="249"/>
    <n v="498"/>
  </r>
  <r>
    <n v="213"/>
    <x v="212"/>
    <s v="CUST213"/>
    <x v="1"/>
    <x v="1"/>
    <x v="27"/>
    <x v="3"/>
    <x v="0"/>
    <n v="150"/>
    <n v="450"/>
  </r>
  <r>
    <n v="214"/>
    <x v="213"/>
    <s v="CUST214"/>
    <x v="3"/>
    <x v="0"/>
    <x v="9"/>
    <x v="1"/>
    <x v="1"/>
    <n v="481"/>
    <n v="1924"/>
  </r>
  <r>
    <n v="215"/>
    <x v="214"/>
    <s v="CUST215"/>
    <x v="2"/>
    <x v="1"/>
    <x v="10"/>
    <x v="0"/>
    <x v="0"/>
    <n v="285"/>
    <n v="855"/>
  </r>
  <r>
    <n v="216"/>
    <x v="215"/>
    <s v="CUST216"/>
    <x v="0"/>
    <x v="1"/>
    <x v="1"/>
    <x v="1"/>
    <x v="1"/>
    <n v="88"/>
    <n v="352"/>
  </r>
  <r>
    <n v="217"/>
    <x v="216"/>
    <s v="CUST217"/>
    <x v="1"/>
    <x v="0"/>
    <x v="25"/>
    <x v="1"/>
    <x v="4"/>
    <n v="450"/>
    <n v="2250"/>
  </r>
  <r>
    <n v="218"/>
    <x v="217"/>
    <s v="CUST218"/>
    <x v="3"/>
    <x v="1"/>
    <x v="5"/>
    <x v="0"/>
    <x v="1"/>
    <n v="158"/>
    <n v="632"/>
  </r>
  <r>
    <n v="219"/>
    <x v="218"/>
    <s v="CUST219"/>
    <x v="0"/>
    <x v="0"/>
    <x v="18"/>
    <x v="3"/>
    <x v="2"/>
    <n v="27"/>
    <n v="54"/>
  </r>
  <r>
    <n v="220"/>
    <x v="219"/>
    <s v="CUST220"/>
    <x v="2"/>
    <x v="1"/>
    <x v="19"/>
    <x v="3"/>
    <x v="0"/>
    <n v="349"/>
    <n v="1047"/>
  </r>
  <r>
    <n v="221"/>
    <x v="220"/>
    <s v="CUST221"/>
    <x v="2"/>
    <x v="0"/>
    <x v="10"/>
    <x v="1"/>
    <x v="0"/>
    <n v="387"/>
    <n v="1161"/>
  </r>
  <r>
    <n v="222"/>
    <x v="221"/>
    <s v="CUST222"/>
    <x v="2"/>
    <x v="1"/>
    <x v="26"/>
    <x v="4"/>
    <x v="4"/>
    <n v="188"/>
    <n v="940"/>
  </r>
  <r>
    <n v="223"/>
    <x v="222"/>
    <s v="CUST223"/>
    <x v="1"/>
    <x v="1"/>
    <x v="2"/>
    <x v="3"/>
    <x v="3"/>
    <n v="439"/>
    <n v="439"/>
  </r>
  <r>
    <n v="224"/>
    <x v="223"/>
    <s v="CUST224"/>
    <x v="3"/>
    <x v="0"/>
    <x v="32"/>
    <x v="0"/>
    <x v="0"/>
    <n v="461"/>
    <n v="1383"/>
  </r>
  <r>
    <n v="225"/>
    <x v="224"/>
    <s v="CUST225"/>
    <x v="0"/>
    <x v="1"/>
    <x v="17"/>
    <x v="1"/>
    <x v="1"/>
    <n v="242"/>
    <n v="968"/>
  </r>
  <r>
    <n v="226"/>
    <x v="225"/>
    <s v="CUST226"/>
    <x v="3"/>
    <x v="1"/>
    <x v="30"/>
    <x v="3"/>
    <x v="3"/>
    <n v="461"/>
    <n v="461"/>
  </r>
  <r>
    <n v="227"/>
    <x v="226"/>
    <s v="CUST227"/>
    <x v="1"/>
    <x v="1"/>
    <x v="16"/>
    <x v="4"/>
    <x v="2"/>
    <n v="341"/>
    <n v="682"/>
  </r>
  <r>
    <n v="228"/>
    <x v="227"/>
    <s v="CUST228"/>
    <x v="3"/>
    <x v="0"/>
    <x v="22"/>
    <x v="2"/>
    <x v="1"/>
    <n v="29"/>
    <n v="116"/>
  </r>
  <r>
    <n v="229"/>
    <x v="228"/>
    <s v="CUST229"/>
    <x v="1"/>
    <x v="0"/>
    <x v="11"/>
    <x v="0"/>
    <x v="0"/>
    <n v="168"/>
    <n v="504"/>
  </r>
  <r>
    <n v="230"/>
    <x v="229"/>
    <s v="CUST230"/>
    <x v="2"/>
    <x v="0"/>
    <x v="8"/>
    <x v="3"/>
    <x v="3"/>
    <n v="130"/>
    <n v="130"/>
  </r>
  <r>
    <n v="231"/>
    <x v="230"/>
    <s v="CUST231"/>
    <x v="0"/>
    <x v="1"/>
    <x v="26"/>
    <x v="3"/>
    <x v="4"/>
    <n v="241"/>
    <n v="1205"/>
  </r>
  <r>
    <n v="232"/>
    <x v="231"/>
    <s v="CUST232"/>
    <x v="2"/>
    <x v="0"/>
    <x v="6"/>
    <x v="0"/>
    <x v="1"/>
    <n v="262"/>
    <n v="1048"/>
  </r>
  <r>
    <n v="233"/>
    <x v="232"/>
    <s v="CUST233"/>
    <x v="3"/>
    <x v="1"/>
    <x v="14"/>
    <x v="4"/>
    <x v="3"/>
    <n v="66"/>
    <n v="66"/>
  </r>
  <r>
    <n v="234"/>
    <x v="233"/>
    <s v="CUST234"/>
    <x v="2"/>
    <x v="0"/>
    <x v="18"/>
    <x v="3"/>
    <x v="0"/>
    <n v="52"/>
    <n v="156"/>
  </r>
  <r>
    <n v="235"/>
    <x v="234"/>
    <s v="CUST235"/>
    <x v="0"/>
    <x v="0"/>
    <x v="13"/>
    <x v="4"/>
    <x v="1"/>
    <n v="415"/>
    <n v="1660"/>
  </r>
  <r>
    <n v="236"/>
    <x v="235"/>
    <s v="CUST236"/>
    <x v="2"/>
    <x v="1"/>
    <x v="17"/>
    <x v="2"/>
    <x v="4"/>
    <n v="385"/>
    <n v="1925"/>
  </r>
  <r>
    <n v="237"/>
    <x v="236"/>
    <s v="CUST237"/>
    <x v="0"/>
    <x v="0"/>
    <x v="28"/>
    <x v="3"/>
    <x v="2"/>
    <n v="195"/>
    <n v="390"/>
  </r>
  <r>
    <n v="238"/>
    <x v="237"/>
    <s v="CUST238"/>
    <x v="0"/>
    <x v="1"/>
    <x v="28"/>
    <x v="3"/>
    <x v="2"/>
    <n v="262"/>
    <n v="524"/>
  </r>
  <r>
    <n v="239"/>
    <x v="238"/>
    <s v="CUST239"/>
    <x v="2"/>
    <x v="1"/>
    <x v="39"/>
    <x v="4"/>
    <x v="2"/>
    <n v="181"/>
    <n v="362"/>
  </r>
  <r>
    <n v="240"/>
    <x v="239"/>
    <s v="CUST240"/>
    <x v="1"/>
    <x v="0"/>
    <x v="36"/>
    <x v="1"/>
    <x v="4"/>
    <n v="295"/>
    <n v="1475"/>
  </r>
  <r>
    <n v="241"/>
    <x v="240"/>
    <s v="CUST241"/>
    <x v="3"/>
    <x v="0"/>
    <x v="42"/>
    <x v="1"/>
    <x v="2"/>
    <n v="159"/>
    <n v="318"/>
  </r>
  <r>
    <n v="242"/>
    <x v="241"/>
    <s v="CUST242"/>
    <x v="1"/>
    <x v="1"/>
    <x v="10"/>
    <x v="1"/>
    <x v="4"/>
    <n v="211"/>
    <n v="1055"/>
  </r>
  <r>
    <n v="243"/>
    <x v="242"/>
    <s v="CUST243"/>
    <x v="1"/>
    <x v="1"/>
    <x v="5"/>
    <x v="3"/>
    <x v="0"/>
    <n v="414"/>
    <n v="1242"/>
  </r>
  <r>
    <n v="244"/>
    <x v="243"/>
    <s v="CUST244"/>
    <x v="2"/>
    <x v="1"/>
    <x v="33"/>
    <x v="4"/>
    <x v="0"/>
    <n v="21"/>
    <n v="63"/>
  </r>
  <r>
    <n v="245"/>
    <x v="244"/>
    <s v="CUST245"/>
    <x v="3"/>
    <x v="0"/>
    <x v="41"/>
    <x v="3"/>
    <x v="1"/>
    <n v="351"/>
    <n v="1404"/>
  </r>
  <r>
    <n v="246"/>
    <x v="245"/>
    <s v="CUST246"/>
    <x v="3"/>
    <x v="1"/>
    <x v="19"/>
    <x v="3"/>
    <x v="2"/>
    <n v="92"/>
    <n v="184"/>
  </r>
  <r>
    <n v="247"/>
    <x v="246"/>
    <s v="CUST247"/>
    <x v="1"/>
    <x v="0"/>
    <x v="25"/>
    <x v="0"/>
    <x v="0"/>
    <n v="307"/>
    <n v="921"/>
  </r>
  <r>
    <n v="248"/>
    <x v="247"/>
    <s v="CUST248"/>
    <x v="2"/>
    <x v="0"/>
    <x v="33"/>
    <x v="3"/>
    <x v="2"/>
    <n v="323"/>
    <n v="646"/>
  </r>
  <r>
    <n v="249"/>
    <x v="248"/>
    <s v="CUST249"/>
    <x v="3"/>
    <x v="0"/>
    <x v="6"/>
    <x v="3"/>
    <x v="2"/>
    <n v="87"/>
    <n v="174"/>
  </r>
  <r>
    <n v="250"/>
    <x v="249"/>
    <s v="CUST250"/>
    <x v="1"/>
    <x v="0"/>
    <x v="7"/>
    <x v="3"/>
    <x v="4"/>
    <n v="192"/>
    <n v="960"/>
  </r>
  <r>
    <n v="251"/>
    <x v="250"/>
    <s v="CUST251"/>
    <x v="3"/>
    <x v="0"/>
    <x v="33"/>
    <x v="1"/>
    <x v="1"/>
    <n v="414"/>
    <n v="1656"/>
  </r>
  <r>
    <n v="252"/>
    <x v="251"/>
    <s v="CUST252"/>
    <x v="2"/>
    <x v="0"/>
    <x v="22"/>
    <x v="4"/>
    <x v="1"/>
    <n v="188"/>
    <n v="752"/>
  </r>
  <r>
    <n v="253"/>
    <x v="252"/>
    <s v="CUST253"/>
    <x v="2"/>
    <x v="1"/>
    <x v="29"/>
    <x v="0"/>
    <x v="1"/>
    <n v="120"/>
    <n v="480"/>
  </r>
  <r>
    <n v="254"/>
    <x v="253"/>
    <s v="CUST254"/>
    <x v="2"/>
    <x v="0"/>
    <x v="25"/>
    <x v="1"/>
    <x v="3"/>
    <n v="135"/>
    <n v="135"/>
  </r>
  <r>
    <n v="255"/>
    <x v="254"/>
    <s v="CUST255"/>
    <x v="3"/>
    <x v="1"/>
    <x v="36"/>
    <x v="0"/>
    <x v="2"/>
    <n v="42"/>
    <n v="84"/>
  </r>
  <r>
    <n v="256"/>
    <x v="255"/>
    <s v="CUST256"/>
    <x v="0"/>
    <x v="1"/>
    <x v="39"/>
    <x v="0"/>
    <x v="3"/>
    <n v="409"/>
    <n v="409"/>
  </r>
  <r>
    <n v="257"/>
    <x v="256"/>
    <s v="CUST257"/>
    <x v="3"/>
    <x v="1"/>
    <x v="39"/>
    <x v="4"/>
    <x v="0"/>
    <n v="142"/>
    <n v="426"/>
  </r>
  <r>
    <n v="258"/>
    <x v="257"/>
    <s v="CUST258"/>
    <x v="0"/>
    <x v="0"/>
    <x v="26"/>
    <x v="1"/>
    <x v="4"/>
    <n v="269"/>
    <n v="1345"/>
  </r>
  <r>
    <n v="259"/>
    <x v="258"/>
    <s v="CUST259"/>
    <x v="2"/>
    <x v="0"/>
    <x v="10"/>
    <x v="1"/>
    <x v="4"/>
    <n v="456"/>
    <n v="2280"/>
  </r>
  <r>
    <n v="260"/>
    <x v="259"/>
    <s v="CUST260"/>
    <x v="1"/>
    <x v="0"/>
    <x v="14"/>
    <x v="2"/>
    <x v="2"/>
    <n v="363"/>
    <n v="726"/>
  </r>
  <r>
    <n v="261"/>
    <x v="260"/>
    <s v="CUST261"/>
    <x v="0"/>
    <x v="0"/>
    <x v="1"/>
    <x v="4"/>
    <x v="2"/>
    <n v="357"/>
    <n v="714"/>
  </r>
  <r>
    <n v="262"/>
    <x v="261"/>
    <s v="CUST262"/>
    <x v="2"/>
    <x v="0"/>
    <x v="24"/>
    <x v="2"/>
    <x v="4"/>
    <n v="432"/>
    <n v="2160"/>
  </r>
  <r>
    <n v="263"/>
    <x v="262"/>
    <s v="CUST263"/>
    <x v="2"/>
    <x v="0"/>
    <x v="14"/>
    <x v="1"/>
    <x v="4"/>
    <n v="122"/>
    <n v="610"/>
  </r>
  <r>
    <n v="264"/>
    <x v="263"/>
    <s v="CUST264"/>
    <x v="0"/>
    <x v="1"/>
    <x v="0"/>
    <x v="1"/>
    <x v="0"/>
    <n v="400"/>
    <n v="1200"/>
  </r>
  <r>
    <n v="265"/>
    <x v="264"/>
    <s v="CUST265"/>
    <x v="1"/>
    <x v="1"/>
    <x v="19"/>
    <x v="2"/>
    <x v="1"/>
    <n v="311"/>
    <n v="1244"/>
  </r>
  <r>
    <n v="266"/>
    <x v="265"/>
    <s v="CUST266"/>
    <x v="2"/>
    <x v="1"/>
    <x v="25"/>
    <x v="0"/>
    <x v="0"/>
    <n v="500"/>
    <n v="1500"/>
  </r>
  <r>
    <n v="267"/>
    <x v="266"/>
    <s v="CUST267"/>
    <x v="0"/>
    <x v="0"/>
    <x v="37"/>
    <x v="2"/>
    <x v="1"/>
    <n v="411"/>
    <n v="1644"/>
  </r>
  <r>
    <n v="268"/>
    <x v="267"/>
    <s v="CUST268"/>
    <x v="1"/>
    <x v="0"/>
    <x v="23"/>
    <x v="4"/>
    <x v="2"/>
    <n v="49"/>
    <n v="98"/>
  </r>
  <r>
    <n v="269"/>
    <x v="268"/>
    <s v="CUST269"/>
    <x v="1"/>
    <x v="1"/>
    <x v="31"/>
    <x v="3"/>
    <x v="4"/>
    <n v="38"/>
    <n v="190"/>
  </r>
  <r>
    <n v="270"/>
    <x v="269"/>
    <s v="CUST270"/>
    <x v="2"/>
    <x v="1"/>
    <x v="28"/>
    <x v="2"/>
    <x v="3"/>
    <n v="210"/>
    <n v="210"/>
  </r>
  <r>
    <n v="271"/>
    <x v="270"/>
    <s v="CUST271"/>
    <x v="3"/>
    <x v="0"/>
    <x v="23"/>
    <x v="0"/>
    <x v="2"/>
    <n v="126"/>
    <n v="252"/>
  </r>
  <r>
    <n v="272"/>
    <x v="271"/>
    <s v="CUST272"/>
    <x v="3"/>
    <x v="0"/>
    <x v="8"/>
    <x v="2"/>
    <x v="3"/>
    <n v="413"/>
    <n v="413"/>
  </r>
  <r>
    <n v="273"/>
    <x v="272"/>
    <s v="CUST273"/>
    <x v="2"/>
    <x v="0"/>
    <x v="28"/>
    <x v="4"/>
    <x v="2"/>
    <n v="260"/>
    <n v="520"/>
  </r>
  <r>
    <n v="274"/>
    <x v="273"/>
    <s v="CUST274"/>
    <x v="1"/>
    <x v="1"/>
    <x v="13"/>
    <x v="0"/>
    <x v="3"/>
    <n v="50"/>
    <n v="50"/>
  </r>
  <r>
    <n v="275"/>
    <x v="274"/>
    <s v="CUST275"/>
    <x v="2"/>
    <x v="0"/>
    <x v="13"/>
    <x v="4"/>
    <x v="3"/>
    <n v="494"/>
    <n v="494"/>
  </r>
  <r>
    <n v="276"/>
    <x v="275"/>
    <s v="CUST276"/>
    <x v="0"/>
    <x v="1"/>
    <x v="10"/>
    <x v="0"/>
    <x v="1"/>
    <n v="347"/>
    <n v="1388"/>
  </r>
  <r>
    <n v="277"/>
    <x v="276"/>
    <s v="CUST277"/>
    <x v="3"/>
    <x v="1"/>
    <x v="34"/>
    <x v="3"/>
    <x v="2"/>
    <n v="165"/>
    <n v="330"/>
  </r>
  <r>
    <n v="278"/>
    <x v="277"/>
    <s v="CUST278"/>
    <x v="0"/>
    <x v="1"/>
    <x v="41"/>
    <x v="2"/>
    <x v="2"/>
    <n v="273"/>
    <n v="546"/>
  </r>
  <r>
    <n v="279"/>
    <x v="278"/>
    <s v="CUST279"/>
    <x v="2"/>
    <x v="0"/>
    <x v="5"/>
    <x v="0"/>
    <x v="3"/>
    <n v="368"/>
    <n v="368"/>
  </r>
  <r>
    <n v="280"/>
    <x v="279"/>
    <s v="CUST280"/>
    <x v="2"/>
    <x v="1"/>
    <x v="28"/>
    <x v="1"/>
    <x v="0"/>
    <n v="285"/>
    <n v="855"/>
  </r>
  <r>
    <n v="281"/>
    <x v="280"/>
    <s v="CUST281"/>
    <x v="1"/>
    <x v="0"/>
    <x v="26"/>
    <x v="0"/>
    <x v="4"/>
    <n v="350"/>
    <n v="1750"/>
  </r>
  <r>
    <n v="282"/>
    <x v="281"/>
    <s v="CUST282"/>
    <x v="1"/>
    <x v="1"/>
    <x v="4"/>
    <x v="4"/>
    <x v="2"/>
    <n v="183"/>
    <n v="366"/>
  </r>
  <r>
    <n v="283"/>
    <x v="282"/>
    <s v="CUST283"/>
    <x v="1"/>
    <x v="1"/>
    <x v="38"/>
    <x v="4"/>
    <x v="4"/>
    <n v="489"/>
    <n v="2445"/>
  </r>
  <r>
    <n v="284"/>
    <x v="283"/>
    <s v="CUST284"/>
    <x v="0"/>
    <x v="1"/>
    <x v="36"/>
    <x v="0"/>
    <x v="2"/>
    <n v="103"/>
    <n v="206"/>
  </r>
  <r>
    <n v="285"/>
    <x v="284"/>
    <s v="CUST285"/>
    <x v="1"/>
    <x v="0"/>
    <x v="0"/>
    <x v="0"/>
    <x v="2"/>
    <n v="271"/>
    <n v="542"/>
  </r>
  <r>
    <n v="286"/>
    <x v="285"/>
    <s v="CUST286"/>
    <x v="2"/>
    <x v="0"/>
    <x v="8"/>
    <x v="4"/>
    <x v="3"/>
    <n v="130"/>
    <n v="130"/>
  </r>
  <r>
    <n v="287"/>
    <x v="286"/>
    <s v="CUST287"/>
    <x v="1"/>
    <x v="1"/>
    <x v="39"/>
    <x v="4"/>
    <x v="0"/>
    <n v="323"/>
    <n v="969"/>
  </r>
  <r>
    <n v="288"/>
    <x v="287"/>
    <s v="CUST288"/>
    <x v="3"/>
    <x v="1"/>
    <x v="4"/>
    <x v="4"/>
    <x v="2"/>
    <n v="68"/>
    <n v="136"/>
  </r>
  <r>
    <n v="289"/>
    <x v="288"/>
    <s v="CUST289"/>
    <x v="1"/>
    <x v="1"/>
    <x v="16"/>
    <x v="3"/>
    <x v="0"/>
    <n v="292"/>
    <n v="876"/>
  </r>
  <r>
    <n v="290"/>
    <x v="289"/>
    <s v="CUST290"/>
    <x v="0"/>
    <x v="0"/>
    <x v="15"/>
    <x v="3"/>
    <x v="3"/>
    <n v="209"/>
    <n v="209"/>
  </r>
  <r>
    <n v="291"/>
    <x v="290"/>
    <s v="CUST291"/>
    <x v="3"/>
    <x v="0"/>
    <x v="9"/>
    <x v="2"/>
    <x v="0"/>
    <n v="187"/>
    <n v="561"/>
  </r>
  <r>
    <n v="292"/>
    <x v="291"/>
    <s v="CUST292"/>
    <x v="3"/>
    <x v="0"/>
    <x v="42"/>
    <x v="2"/>
    <x v="3"/>
    <n v="317"/>
    <n v="317"/>
  </r>
  <r>
    <n v="293"/>
    <x v="292"/>
    <s v="CUST293"/>
    <x v="3"/>
    <x v="1"/>
    <x v="24"/>
    <x v="4"/>
    <x v="1"/>
    <n v="225"/>
    <n v="900"/>
  </r>
  <r>
    <n v="294"/>
    <x v="293"/>
    <s v="CUST294"/>
    <x v="0"/>
    <x v="1"/>
    <x v="6"/>
    <x v="3"/>
    <x v="2"/>
    <n v="127"/>
    <n v="254"/>
  </r>
  <r>
    <n v="295"/>
    <x v="294"/>
    <s v="CUST295"/>
    <x v="2"/>
    <x v="0"/>
    <x v="8"/>
    <x v="4"/>
    <x v="0"/>
    <n v="203"/>
    <n v="609"/>
  </r>
  <r>
    <n v="296"/>
    <x v="295"/>
    <s v="CUST296"/>
    <x v="1"/>
    <x v="1"/>
    <x v="42"/>
    <x v="4"/>
    <x v="4"/>
    <n v="434"/>
    <n v="2170"/>
  </r>
  <r>
    <n v="297"/>
    <x v="296"/>
    <s v="CUST297"/>
    <x v="3"/>
    <x v="0"/>
    <x v="24"/>
    <x v="1"/>
    <x v="4"/>
    <n v="469"/>
    <n v="2345"/>
  </r>
  <r>
    <n v="298"/>
    <x v="297"/>
    <s v="CUST298"/>
    <x v="3"/>
    <x v="0"/>
    <x v="18"/>
    <x v="4"/>
    <x v="1"/>
    <n v="427"/>
    <n v="1708"/>
  </r>
  <r>
    <n v="299"/>
    <x v="298"/>
    <s v="CUST299"/>
    <x v="3"/>
    <x v="1"/>
    <x v="30"/>
    <x v="1"/>
    <x v="0"/>
    <n v="37"/>
    <n v="111"/>
  </r>
  <r>
    <n v="300"/>
    <x v="299"/>
    <s v="CUST300"/>
    <x v="2"/>
    <x v="1"/>
    <x v="18"/>
    <x v="2"/>
    <x v="3"/>
    <n v="300"/>
    <n v="300"/>
  </r>
  <r>
    <n v="301"/>
    <x v="300"/>
    <s v="CUST301"/>
    <x v="2"/>
    <x v="0"/>
    <x v="28"/>
    <x v="4"/>
    <x v="4"/>
    <n v="499"/>
    <n v="2495"/>
  </r>
  <r>
    <n v="302"/>
    <x v="301"/>
    <s v="CUST302"/>
    <x v="0"/>
    <x v="1"/>
    <x v="11"/>
    <x v="0"/>
    <x v="0"/>
    <n v="66"/>
    <n v="198"/>
  </r>
  <r>
    <n v="303"/>
    <x v="302"/>
    <s v="CUST303"/>
    <x v="2"/>
    <x v="0"/>
    <x v="3"/>
    <x v="2"/>
    <x v="4"/>
    <n v="294"/>
    <n v="1470"/>
  </r>
  <r>
    <n v="304"/>
    <x v="303"/>
    <s v="CUST304"/>
    <x v="1"/>
    <x v="1"/>
    <x v="17"/>
    <x v="0"/>
    <x v="2"/>
    <n v="122"/>
    <n v="244"/>
  </r>
  <r>
    <n v="305"/>
    <x v="304"/>
    <s v="CUST305"/>
    <x v="0"/>
    <x v="1"/>
    <x v="31"/>
    <x v="2"/>
    <x v="1"/>
    <n v="296"/>
    <n v="1184"/>
  </r>
  <r>
    <n v="306"/>
    <x v="305"/>
    <s v="CUST306"/>
    <x v="0"/>
    <x v="0"/>
    <x v="39"/>
    <x v="3"/>
    <x v="2"/>
    <n v="88"/>
    <n v="176"/>
  </r>
  <r>
    <n v="307"/>
    <x v="306"/>
    <s v="CUST307"/>
    <x v="1"/>
    <x v="0"/>
    <x v="1"/>
    <x v="4"/>
    <x v="0"/>
    <n v="44"/>
    <n v="132"/>
  </r>
  <r>
    <n v="308"/>
    <x v="307"/>
    <s v="CUST308"/>
    <x v="1"/>
    <x v="0"/>
    <x v="41"/>
    <x v="1"/>
    <x v="4"/>
    <n v="213"/>
    <n v="1065"/>
  </r>
  <r>
    <n v="309"/>
    <x v="308"/>
    <s v="CUST309"/>
    <x v="1"/>
    <x v="1"/>
    <x v="31"/>
    <x v="2"/>
    <x v="4"/>
    <n v="98"/>
    <n v="490"/>
  </r>
  <r>
    <n v="310"/>
    <x v="309"/>
    <s v="CUST310"/>
    <x v="0"/>
    <x v="0"/>
    <x v="6"/>
    <x v="1"/>
    <x v="4"/>
    <n v="415"/>
    <n v="2075"/>
  </r>
  <r>
    <n v="311"/>
    <x v="310"/>
    <s v="CUST311"/>
    <x v="0"/>
    <x v="0"/>
    <x v="40"/>
    <x v="4"/>
    <x v="2"/>
    <n v="500"/>
    <n v="1000"/>
  </r>
  <r>
    <n v="312"/>
    <x v="311"/>
    <s v="CUST312"/>
    <x v="0"/>
    <x v="0"/>
    <x v="36"/>
    <x v="1"/>
    <x v="1"/>
    <n v="38"/>
    <n v="152"/>
  </r>
  <r>
    <n v="313"/>
    <x v="312"/>
    <s v="CUST313"/>
    <x v="1"/>
    <x v="0"/>
    <x v="6"/>
    <x v="1"/>
    <x v="1"/>
    <n v="221"/>
    <n v="884"/>
  </r>
  <r>
    <n v="314"/>
    <x v="313"/>
    <s v="CUST314"/>
    <x v="1"/>
    <x v="1"/>
    <x v="7"/>
    <x v="2"/>
    <x v="0"/>
    <n v="121"/>
    <n v="363"/>
  </r>
  <r>
    <n v="315"/>
    <x v="314"/>
    <s v="CUST315"/>
    <x v="3"/>
    <x v="0"/>
    <x v="7"/>
    <x v="3"/>
    <x v="1"/>
    <n v="86"/>
    <n v="344"/>
  </r>
  <r>
    <n v="316"/>
    <x v="315"/>
    <s v="CUST316"/>
    <x v="2"/>
    <x v="0"/>
    <x v="17"/>
    <x v="2"/>
    <x v="2"/>
    <n v="200"/>
    <n v="400"/>
  </r>
  <r>
    <n v="317"/>
    <x v="316"/>
    <s v="CUST317"/>
    <x v="3"/>
    <x v="0"/>
    <x v="6"/>
    <x v="2"/>
    <x v="0"/>
    <n v="247"/>
    <n v="741"/>
  </r>
  <r>
    <n v="318"/>
    <x v="317"/>
    <s v="CUST318"/>
    <x v="1"/>
    <x v="0"/>
    <x v="25"/>
    <x v="3"/>
    <x v="2"/>
    <n v="133"/>
    <n v="266"/>
  </r>
  <r>
    <n v="319"/>
    <x v="318"/>
    <s v="CUST319"/>
    <x v="0"/>
    <x v="0"/>
    <x v="34"/>
    <x v="2"/>
    <x v="4"/>
    <n v="401"/>
    <n v="2005"/>
  </r>
  <r>
    <n v="320"/>
    <x v="319"/>
    <s v="CUST320"/>
    <x v="1"/>
    <x v="1"/>
    <x v="0"/>
    <x v="3"/>
    <x v="1"/>
    <n v="101"/>
    <n v="404"/>
  </r>
  <r>
    <n v="321"/>
    <x v="320"/>
    <s v="CUST321"/>
    <x v="2"/>
    <x v="0"/>
    <x v="42"/>
    <x v="3"/>
    <x v="0"/>
    <n v="176"/>
    <n v="528"/>
  </r>
  <r>
    <n v="322"/>
    <x v="321"/>
    <s v="CUST322"/>
    <x v="3"/>
    <x v="1"/>
    <x v="10"/>
    <x v="4"/>
    <x v="0"/>
    <n v="471"/>
    <n v="1413"/>
  </r>
  <r>
    <n v="323"/>
    <x v="322"/>
    <s v="CUST323"/>
    <x v="3"/>
    <x v="0"/>
    <x v="16"/>
    <x v="4"/>
    <x v="2"/>
    <n v="258"/>
    <n v="516"/>
  </r>
  <r>
    <n v="324"/>
    <x v="323"/>
    <s v="CUST324"/>
    <x v="0"/>
    <x v="1"/>
    <x v="20"/>
    <x v="3"/>
    <x v="1"/>
    <n v="227"/>
    <n v="908"/>
  </r>
  <r>
    <n v="325"/>
    <x v="324"/>
    <s v="CUST325"/>
    <x v="3"/>
    <x v="1"/>
    <x v="17"/>
    <x v="1"/>
    <x v="0"/>
    <n v="379"/>
    <n v="1137"/>
  </r>
  <r>
    <n v="326"/>
    <x v="325"/>
    <s v="CUST326"/>
    <x v="3"/>
    <x v="0"/>
    <x v="1"/>
    <x v="1"/>
    <x v="2"/>
    <n v="470"/>
    <n v="940"/>
  </r>
  <r>
    <n v="327"/>
    <x v="326"/>
    <s v="CUST327"/>
    <x v="1"/>
    <x v="0"/>
    <x v="18"/>
    <x v="3"/>
    <x v="3"/>
    <n v="26"/>
    <n v="26"/>
  </r>
  <r>
    <n v="328"/>
    <x v="327"/>
    <s v="CUST328"/>
    <x v="3"/>
    <x v="1"/>
    <x v="21"/>
    <x v="4"/>
    <x v="2"/>
    <n v="133"/>
    <n v="266"/>
  </r>
  <r>
    <n v="329"/>
    <x v="328"/>
    <s v="CUST329"/>
    <x v="3"/>
    <x v="1"/>
    <x v="21"/>
    <x v="0"/>
    <x v="0"/>
    <n v="375"/>
    <n v="1125"/>
  </r>
  <r>
    <n v="330"/>
    <x v="329"/>
    <s v="CUST330"/>
    <x v="3"/>
    <x v="0"/>
    <x v="22"/>
    <x v="1"/>
    <x v="2"/>
    <n v="319"/>
    <n v="638"/>
  </r>
  <r>
    <n v="331"/>
    <x v="330"/>
    <s v="CUST331"/>
    <x v="0"/>
    <x v="1"/>
    <x v="18"/>
    <x v="0"/>
    <x v="4"/>
    <n v="241"/>
    <n v="1205"/>
  </r>
  <r>
    <n v="332"/>
    <x v="331"/>
    <s v="CUST332"/>
    <x v="0"/>
    <x v="0"/>
    <x v="19"/>
    <x v="1"/>
    <x v="1"/>
    <n v="30"/>
    <n v="120"/>
  </r>
  <r>
    <n v="333"/>
    <x v="332"/>
    <s v="CUST333"/>
    <x v="1"/>
    <x v="0"/>
    <x v="6"/>
    <x v="3"/>
    <x v="0"/>
    <n v="50"/>
    <n v="150"/>
  </r>
  <r>
    <n v="334"/>
    <x v="333"/>
    <s v="CUST334"/>
    <x v="3"/>
    <x v="1"/>
    <x v="28"/>
    <x v="2"/>
    <x v="3"/>
    <n v="93"/>
    <n v="93"/>
  </r>
  <r>
    <n v="335"/>
    <x v="334"/>
    <s v="CUST335"/>
    <x v="0"/>
    <x v="0"/>
    <x v="9"/>
    <x v="4"/>
    <x v="2"/>
    <n v="39"/>
    <n v="78"/>
  </r>
  <r>
    <n v="336"/>
    <x v="335"/>
    <s v="CUST336"/>
    <x v="0"/>
    <x v="0"/>
    <x v="35"/>
    <x v="0"/>
    <x v="3"/>
    <n v="144"/>
    <n v="144"/>
  </r>
  <r>
    <n v="337"/>
    <x v="336"/>
    <s v="CUST337"/>
    <x v="1"/>
    <x v="0"/>
    <x v="2"/>
    <x v="0"/>
    <x v="4"/>
    <n v="68"/>
    <n v="340"/>
  </r>
  <r>
    <n v="338"/>
    <x v="337"/>
    <s v="CUST338"/>
    <x v="2"/>
    <x v="0"/>
    <x v="23"/>
    <x v="1"/>
    <x v="0"/>
    <n v="59"/>
    <n v="177"/>
  </r>
  <r>
    <n v="339"/>
    <x v="338"/>
    <s v="CUST339"/>
    <x v="3"/>
    <x v="1"/>
    <x v="6"/>
    <x v="2"/>
    <x v="1"/>
    <n v="38"/>
    <n v="152"/>
  </r>
  <r>
    <n v="340"/>
    <x v="339"/>
    <s v="CUST340"/>
    <x v="0"/>
    <x v="1"/>
    <x v="11"/>
    <x v="2"/>
    <x v="2"/>
    <n v="158"/>
    <n v="316"/>
  </r>
  <r>
    <n v="341"/>
    <x v="340"/>
    <s v="CUST341"/>
    <x v="1"/>
    <x v="0"/>
    <x v="3"/>
    <x v="4"/>
    <x v="2"/>
    <n v="324"/>
    <n v="648"/>
  </r>
  <r>
    <n v="342"/>
    <x v="341"/>
    <s v="CUST342"/>
    <x v="1"/>
    <x v="0"/>
    <x v="24"/>
    <x v="2"/>
    <x v="2"/>
    <n v="261"/>
    <n v="522"/>
  </r>
  <r>
    <n v="343"/>
    <x v="342"/>
    <s v="CUST343"/>
    <x v="1"/>
    <x v="1"/>
    <x v="22"/>
    <x v="0"/>
    <x v="4"/>
    <n v="375"/>
    <n v="1875"/>
  </r>
  <r>
    <n v="344"/>
    <x v="343"/>
    <s v="CUST344"/>
    <x v="0"/>
    <x v="1"/>
    <x v="38"/>
    <x v="0"/>
    <x v="4"/>
    <n v="448"/>
    <n v="2240"/>
  </r>
  <r>
    <n v="345"/>
    <x v="344"/>
    <s v="CUST345"/>
    <x v="3"/>
    <x v="1"/>
    <x v="14"/>
    <x v="4"/>
    <x v="4"/>
    <n v="317"/>
    <n v="1585"/>
  </r>
  <r>
    <n v="346"/>
    <x v="345"/>
    <s v="CUST346"/>
    <x v="2"/>
    <x v="0"/>
    <x v="30"/>
    <x v="4"/>
    <x v="4"/>
    <n v="156"/>
    <n v="780"/>
  </r>
  <r>
    <n v="347"/>
    <x v="346"/>
    <s v="CUST347"/>
    <x v="3"/>
    <x v="0"/>
    <x v="9"/>
    <x v="3"/>
    <x v="4"/>
    <n v="329"/>
    <n v="1645"/>
  </r>
  <r>
    <n v="348"/>
    <x v="347"/>
    <s v="CUST348"/>
    <x v="1"/>
    <x v="1"/>
    <x v="28"/>
    <x v="1"/>
    <x v="3"/>
    <n v="61"/>
    <n v="61"/>
  </r>
  <r>
    <n v="349"/>
    <x v="348"/>
    <s v="CUST349"/>
    <x v="1"/>
    <x v="0"/>
    <x v="15"/>
    <x v="3"/>
    <x v="4"/>
    <n v="366"/>
    <n v="1830"/>
  </r>
  <r>
    <n v="350"/>
    <x v="349"/>
    <s v="CUST350"/>
    <x v="2"/>
    <x v="0"/>
    <x v="5"/>
    <x v="1"/>
    <x v="0"/>
    <n v="62"/>
    <n v="186"/>
  </r>
  <r>
    <n v="351"/>
    <x v="350"/>
    <s v="CUST351"/>
    <x v="3"/>
    <x v="0"/>
    <x v="0"/>
    <x v="1"/>
    <x v="3"/>
    <n v="102"/>
    <n v="102"/>
  </r>
  <r>
    <n v="352"/>
    <x v="351"/>
    <s v="CUST352"/>
    <x v="1"/>
    <x v="1"/>
    <x v="10"/>
    <x v="1"/>
    <x v="2"/>
    <n v="78"/>
    <n v="156"/>
  </r>
  <r>
    <n v="353"/>
    <x v="352"/>
    <s v="CUST353"/>
    <x v="1"/>
    <x v="0"/>
    <x v="28"/>
    <x v="1"/>
    <x v="2"/>
    <n v="88"/>
    <n v="176"/>
  </r>
  <r>
    <n v="354"/>
    <x v="353"/>
    <s v="CUST354"/>
    <x v="3"/>
    <x v="1"/>
    <x v="17"/>
    <x v="0"/>
    <x v="0"/>
    <n v="469"/>
    <n v="1407"/>
  </r>
  <r>
    <n v="355"/>
    <x v="354"/>
    <s v="CUST355"/>
    <x v="1"/>
    <x v="0"/>
    <x v="22"/>
    <x v="2"/>
    <x v="1"/>
    <n v="437"/>
    <n v="1748"/>
  </r>
  <r>
    <n v="356"/>
    <x v="355"/>
    <s v="CUST356"/>
    <x v="3"/>
    <x v="1"/>
    <x v="11"/>
    <x v="1"/>
    <x v="1"/>
    <n v="266"/>
    <n v="1064"/>
  </r>
  <r>
    <n v="357"/>
    <x v="356"/>
    <s v="CUST357"/>
    <x v="1"/>
    <x v="1"/>
    <x v="31"/>
    <x v="0"/>
    <x v="0"/>
    <n v="481"/>
    <n v="1443"/>
  </r>
  <r>
    <n v="358"/>
    <x v="357"/>
    <s v="CUST358"/>
    <x v="3"/>
    <x v="0"/>
    <x v="22"/>
    <x v="3"/>
    <x v="3"/>
    <n v="455"/>
    <n v="455"/>
  </r>
  <r>
    <n v="359"/>
    <x v="358"/>
    <s v="CUST359"/>
    <x v="2"/>
    <x v="1"/>
    <x v="37"/>
    <x v="3"/>
    <x v="3"/>
    <n v="182"/>
    <n v="182"/>
  </r>
  <r>
    <n v="360"/>
    <x v="359"/>
    <s v="CUST360"/>
    <x v="1"/>
    <x v="0"/>
    <x v="8"/>
    <x v="4"/>
    <x v="2"/>
    <n v="312"/>
    <n v="624"/>
  </r>
  <r>
    <n v="361"/>
    <x v="360"/>
    <s v="CUST361"/>
    <x v="2"/>
    <x v="1"/>
    <x v="42"/>
    <x v="3"/>
    <x v="1"/>
    <n v="364"/>
    <n v="1456"/>
  </r>
  <r>
    <n v="362"/>
    <x v="361"/>
    <s v="CUST362"/>
    <x v="1"/>
    <x v="0"/>
    <x v="15"/>
    <x v="1"/>
    <x v="2"/>
    <n v="286"/>
    <n v="572"/>
  </r>
  <r>
    <n v="363"/>
    <x v="362"/>
    <s v="CUST363"/>
    <x v="1"/>
    <x v="0"/>
    <x v="16"/>
    <x v="4"/>
    <x v="1"/>
    <n v="110"/>
    <n v="440"/>
  </r>
  <r>
    <n v="364"/>
    <x v="363"/>
    <s v="CUST364"/>
    <x v="0"/>
    <x v="0"/>
    <x v="4"/>
    <x v="2"/>
    <x v="0"/>
    <n v="39"/>
    <n v="117"/>
  </r>
  <r>
    <n v="365"/>
    <x v="364"/>
    <s v="CUST365"/>
    <x v="3"/>
    <x v="1"/>
    <x v="7"/>
    <x v="2"/>
    <x v="2"/>
    <n v="157"/>
    <n v="314"/>
  </r>
  <r>
    <n v="366"/>
    <x v="365"/>
    <s v="CUST366"/>
    <x v="2"/>
    <x v="1"/>
    <x v="11"/>
    <x v="1"/>
    <x v="1"/>
    <n v="284"/>
    <n v="1136"/>
  </r>
  <r>
    <n v="367"/>
    <x v="366"/>
    <s v="CUST367"/>
    <x v="2"/>
    <x v="1"/>
    <x v="38"/>
    <x v="2"/>
    <x v="4"/>
    <n v="443"/>
    <n v="2215"/>
  </r>
  <r>
    <n v="368"/>
    <x v="367"/>
    <s v="CUST368"/>
    <x v="2"/>
    <x v="0"/>
    <x v="32"/>
    <x v="2"/>
    <x v="0"/>
    <n v="29"/>
    <n v="87"/>
  </r>
  <r>
    <n v="369"/>
    <x v="368"/>
    <s v="CUST369"/>
    <x v="3"/>
    <x v="1"/>
    <x v="28"/>
    <x v="3"/>
    <x v="3"/>
    <n v="262"/>
    <n v="262"/>
  </r>
  <r>
    <n v="370"/>
    <x v="369"/>
    <s v="CUST370"/>
    <x v="0"/>
    <x v="0"/>
    <x v="7"/>
    <x v="0"/>
    <x v="4"/>
    <n v="162"/>
    <n v="810"/>
  </r>
  <r>
    <n v="371"/>
    <x v="370"/>
    <s v="CUST371"/>
    <x v="2"/>
    <x v="0"/>
    <x v="14"/>
    <x v="0"/>
    <x v="0"/>
    <n v="32"/>
    <n v="96"/>
  </r>
  <r>
    <n v="372"/>
    <x v="371"/>
    <s v="CUST372"/>
    <x v="3"/>
    <x v="0"/>
    <x v="42"/>
    <x v="4"/>
    <x v="2"/>
    <n v="259"/>
    <n v="518"/>
  </r>
  <r>
    <n v="373"/>
    <x v="372"/>
    <s v="CUST373"/>
    <x v="1"/>
    <x v="1"/>
    <x v="30"/>
    <x v="3"/>
    <x v="0"/>
    <n v="431"/>
    <n v="1293"/>
  </r>
  <r>
    <n v="374"/>
    <x v="373"/>
    <s v="CUST374"/>
    <x v="2"/>
    <x v="0"/>
    <x v="35"/>
    <x v="0"/>
    <x v="4"/>
    <n v="366"/>
    <n v="1830"/>
  </r>
  <r>
    <n v="375"/>
    <x v="374"/>
    <s v="CUST375"/>
    <x v="2"/>
    <x v="1"/>
    <x v="20"/>
    <x v="3"/>
    <x v="0"/>
    <n v="299"/>
    <n v="897"/>
  </r>
  <r>
    <n v="376"/>
    <x v="375"/>
    <s v="CUST376"/>
    <x v="0"/>
    <x v="1"/>
    <x v="5"/>
    <x v="3"/>
    <x v="2"/>
    <n v="310"/>
    <n v="620"/>
  </r>
  <r>
    <n v="377"/>
    <x v="376"/>
    <s v="CUST377"/>
    <x v="2"/>
    <x v="0"/>
    <x v="27"/>
    <x v="4"/>
    <x v="3"/>
    <n v="291"/>
    <n v="291"/>
  </r>
  <r>
    <n v="378"/>
    <x v="377"/>
    <s v="CUST378"/>
    <x v="2"/>
    <x v="1"/>
    <x v="29"/>
    <x v="2"/>
    <x v="1"/>
    <n v="277"/>
    <n v="1108"/>
  </r>
  <r>
    <n v="379"/>
    <x v="378"/>
    <s v="CUST379"/>
    <x v="1"/>
    <x v="1"/>
    <x v="26"/>
    <x v="0"/>
    <x v="4"/>
    <n v="166"/>
    <n v="830"/>
  </r>
  <r>
    <n v="380"/>
    <x v="379"/>
    <s v="CUST380"/>
    <x v="3"/>
    <x v="1"/>
    <x v="33"/>
    <x v="4"/>
    <x v="2"/>
    <n v="74"/>
    <n v="148"/>
  </r>
  <r>
    <n v="381"/>
    <x v="380"/>
    <s v="CUST381"/>
    <x v="3"/>
    <x v="0"/>
    <x v="23"/>
    <x v="4"/>
    <x v="1"/>
    <n v="60"/>
    <n v="240"/>
  </r>
  <r>
    <n v="382"/>
    <x v="381"/>
    <s v="CUST382"/>
    <x v="0"/>
    <x v="0"/>
    <x v="16"/>
    <x v="1"/>
    <x v="4"/>
    <n v="387"/>
    <n v="1935"/>
  </r>
  <r>
    <n v="383"/>
    <x v="382"/>
    <s v="CUST383"/>
    <x v="1"/>
    <x v="0"/>
    <x v="33"/>
    <x v="3"/>
    <x v="3"/>
    <n v="25"/>
    <n v="25"/>
  </r>
  <r>
    <n v="384"/>
    <x v="383"/>
    <s v="CUST384"/>
    <x v="3"/>
    <x v="1"/>
    <x v="25"/>
    <x v="1"/>
    <x v="0"/>
    <n v="73"/>
    <n v="219"/>
  </r>
  <r>
    <n v="385"/>
    <x v="384"/>
    <s v="CUST385"/>
    <x v="1"/>
    <x v="1"/>
    <x v="22"/>
    <x v="2"/>
    <x v="4"/>
    <n v="467"/>
    <n v="2335"/>
  </r>
  <r>
    <n v="386"/>
    <x v="385"/>
    <s v="CUST386"/>
    <x v="3"/>
    <x v="0"/>
    <x v="18"/>
    <x v="1"/>
    <x v="3"/>
    <n v="286"/>
    <n v="286"/>
  </r>
  <r>
    <n v="387"/>
    <x v="386"/>
    <s v="CUST387"/>
    <x v="1"/>
    <x v="1"/>
    <x v="30"/>
    <x v="4"/>
    <x v="2"/>
    <n v="443"/>
    <n v="886"/>
  </r>
  <r>
    <n v="388"/>
    <x v="387"/>
    <s v="CUST388"/>
    <x v="0"/>
    <x v="1"/>
    <x v="14"/>
    <x v="3"/>
    <x v="3"/>
    <n v="48"/>
    <n v="48"/>
  </r>
  <r>
    <n v="389"/>
    <x v="388"/>
    <s v="CUST389"/>
    <x v="2"/>
    <x v="0"/>
    <x v="31"/>
    <x v="0"/>
    <x v="4"/>
    <n v="397"/>
    <n v="1985"/>
  </r>
  <r>
    <n v="390"/>
    <x v="389"/>
    <s v="CUST390"/>
    <x v="0"/>
    <x v="1"/>
    <x v="9"/>
    <x v="0"/>
    <x v="2"/>
    <n v="118"/>
    <n v="236"/>
  </r>
  <r>
    <n v="391"/>
    <x v="390"/>
    <s v="CUST391"/>
    <x v="3"/>
    <x v="1"/>
    <x v="23"/>
    <x v="2"/>
    <x v="2"/>
    <n v="105"/>
    <n v="210"/>
  </r>
  <r>
    <n v="392"/>
    <x v="391"/>
    <s v="CUST392"/>
    <x v="0"/>
    <x v="1"/>
    <x v="24"/>
    <x v="2"/>
    <x v="4"/>
    <n v="417"/>
    <n v="2085"/>
  </r>
  <r>
    <n v="393"/>
    <x v="392"/>
    <s v="CUST393"/>
    <x v="2"/>
    <x v="1"/>
    <x v="16"/>
    <x v="1"/>
    <x v="0"/>
    <n v="292"/>
    <n v="876"/>
  </r>
  <r>
    <n v="394"/>
    <x v="393"/>
    <s v="CUST394"/>
    <x v="0"/>
    <x v="0"/>
    <x v="9"/>
    <x v="1"/>
    <x v="2"/>
    <n v="158"/>
    <n v="316"/>
  </r>
  <r>
    <n v="395"/>
    <x v="394"/>
    <s v="CUST395"/>
    <x v="3"/>
    <x v="1"/>
    <x v="32"/>
    <x v="1"/>
    <x v="2"/>
    <n v="88"/>
    <n v="176"/>
  </r>
  <r>
    <n v="396"/>
    <x v="395"/>
    <s v="CUST396"/>
    <x v="3"/>
    <x v="1"/>
    <x v="1"/>
    <x v="3"/>
    <x v="2"/>
    <n v="178"/>
    <n v="356"/>
  </r>
  <r>
    <n v="397"/>
    <x v="396"/>
    <s v="CUST397"/>
    <x v="0"/>
    <x v="1"/>
    <x v="10"/>
    <x v="3"/>
    <x v="4"/>
    <n v="449"/>
    <n v="2245"/>
  </r>
  <r>
    <n v="398"/>
    <x v="397"/>
    <s v="CUST398"/>
    <x v="2"/>
    <x v="1"/>
    <x v="3"/>
    <x v="4"/>
    <x v="0"/>
    <n v="207"/>
    <n v="621"/>
  </r>
  <r>
    <n v="399"/>
    <x v="398"/>
    <s v="CUST399"/>
    <x v="0"/>
    <x v="1"/>
    <x v="38"/>
    <x v="1"/>
    <x v="0"/>
    <n v="180"/>
    <n v="540"/>
  </r>
  <r>
    <n v="400"/>
    <x v="399"/>
    <s v="CUST400"/>
    <x v="2"/>
    <x v="1"/>
    <x v="5"/>
    <x v="2"/>
    <x v="1"/>
    <n v="496"/>
    <n v="1984"/>
  </r>
  <r>
    <n v="401"/>
    <x v="400"/>
    <s v="CUST401"/>
    <x v="1"/>
    <x v="0"/>
    <x v="25"/>
    <x v="3"/>
    <x v="1"/>
    <n v="308"/>
    <n v="1232"/>
  </r>
  <r>
    <n v="402"/>
    <x v="401"/>
    <s v="CUST402"/>
    <x v="2"/>
    <x v="0"/>
    <x v="24"/>
    <x v="2"/>
    <x v="1"/>
    <n v="487"/>
    <n v="1948"/>
  </r>
  <r>
    <n v="403"/>
    <x v="402"/>
    <s v="CUST403"/>
    <x v="1"/>
    <x v="1"/>
    <x v="14"/>
    <x v="0"/>
    <x v="0"/>
    <n v="445"/>
    <n v="1335"/>
  </r>
  <r>
    <n v="404"/>
    <x v="403"/>
    <s v="CUST404"/>
    <x v="0"/>
    <x v="0"/>
    <x v="15"/>
    <x v="3"/>
    <x v="4"/>
    <n v="184"/>
    <n v="920"/>
  </r>
  <r>
    <n v="405"/>
    <x v="404"/>
    <s v="CUST405"/>
    <x v="2"/>
    <x v="0"/>
    <x v="18"/>
    <x v="2"/>
    <x v="0"/>
    <n v="45"/>
    <n v="135"/>
  </r>
  <r>
    <n v="406"/>
    <x v="405"/>
    <s v="CUST406"/>
    <x v="1"/>
    <x v="0"/>
    <x v="10"/>
    <x v="3"/>
    <x v="3"/>
    <n v="276"/>
    <n v="276"/>
  </r>
  <r>
    <n v="407"/>
    <x v="406"/>
    <s v="CUST407"/>
    <x v="1"/>
    <x v="1"/>
    <x v="38"/>
    <x v="1"/>
    <x v="3"/>
    <n v="438"/>
    <n v="438"/>
  </r>
  <r>
    <n v="408"/>
    <x v="407"/>
    <s v="CUST408"/>
    <x v="1"/>
    <x v="0"/>
    <x v="29"/>
    <x v="0"/>
    <x v="0"/>
    <n v="283"/>
    <n v="849"/>
  </r>
  <r>
    <n v="409"/>
    <x v="408"/>
    <s v="CUST409"/>
    <x v="3"/>
    <x v="0"/>
    <x v="31"/>
    <x v="4"/>
    <x v="4"/>
    <n v="356"/>
    <n v="1780"/>
  </r>
  <r>
    <n v="410"/>
    <x v="409"/>
    <s v="CUST410"/>
    <x v="0"/>
    <x v="0"/>
    <x v="29"/>
    <x v="1"/>
    <x v="4"/>
    <n v="499"/>
    <n v="2495"/>
  </r>
  <r>
    <n v="411"/>
    <x v="410"/>
    <s v="CUST411"/>
    <x v="1"/>
    <x v="1"/>
    <x v="33"/>
    <x v="2"/>
    <x v="2"/>
    <n v="215"/>
    <n v="430"/>
  </r>
  <r>
    <n v="412"/>
    <x v="411"/>
    <s v="CUST412"/>
    <x v="2"/>
    <x v="0"/>
    <x v="20"/>
    <x v="4"/>
    <x v="2"/>
    <n v="158"/>
    <n v="316"/>
  </r>
  <r>
    <n v="413"/>
    <x v="412"/>
    <s v="CUST413"/>
    <x v="1"/>
    <x v="1"/>
    <x v="38"/>
    <x v="4"/>
    <x v="1"/>
    <n v="246"/>
    <n v="984"/>
  </r>
  <r>
    <n v="414"/>
    <x v="413"/>
    <s v="CUST414"/>
    <x v="3"/>
    <x v="1"/>
    <x v="2"/>
    <x v="1"/>
    <x v="2"/>
    <n v="155"/>
    <n v="310"/>
  </r>
  <r>
    <n v="415"/>
    <x v="414"/>
    <s v="CUST415"/>
    <x v="0"/>
    <x v="1"/>
    <x v="5"/>
    <x v="3"/>
    <x v="3"/>
    <n v="196"/>
    <n v="196"/>
  </r>
  <r>
    <n v="416"/>
    <x v="415"/>
    <s v="CUST416"/>
    <x v="3"/>
    <x v="0"/>
    <x v="26"/>
    <x v="0"/>
    <x v="2"/>
    <n v="303"/>
    <n v="606"/>
  </r>
  <r>
    <n v="417"/>
    <x v="416"/>
    <s v="CUST417"/>
    <x v="3"/>
    <x v="0"/>
    <x v="7"/>
    <x v="4"/>
    <x v="4"/>
    <n v="290"/>
    <n v="1450"/>
  </r>
  <r>
    <n v="418"/>
    <x v="417"/>
    <s v="CUST418"/>
    <x v="3"/>
    <x v="1"/>
    <x v="33"/>
    <x v="0"/>
    <x v="1"/>
    <n v="322"/>
    <n v="1288"/>
  </r>
  <r>
    <n v="419"/>
    <x v="418"/>
    <s v="CUST419"/>
    <x v="2"/>
    <x v="1"/>
    <x v="7"/>
    <x v="3"/>
    <x v="1"/>
    <n v="245"/>
    <n v="980"/>
  </r>
  <r>
    <n v="420"/>
    <x v="419"/>
    <s v="CUST420"/>
    <x v="0"/>
    <x v="1"/>
    <x v="8"/>
    <x v="2"/>
    <x v="2"/>
    <n v="500"/>
    <n v="1000"/>
  </r>
  <r>
    <n v="421"/>
    <x v="420"/>
    <s v="CUST421"/>
    <x v="0"/>
    <x v="1"/>
    <x v="36"/>
    <x v="1"/>
    <x v="4"/>
    <n v="212"/>
    <n v="1060"/>
  </r>
  <r>
    <n v="422"/>
    <x v="421"/>
    <s v="CUST422"/>
    <x v="2"/>
    <x v="1"/>
    <x v="11"/>
    <x v="4"/>
    <x v="1"/>
    <n v="444"/>
    <n v="1776"/>
  </r>
  <r>
    <n v="423"/>
    <x v="422"/>
    <s v="CUST423"/>
    <x v="0"/>
    <x v="0"/>
    <x v="11"/>
    <x v="2"/>
    <x v="3"/>
    <n v="400"/>
    <n v="400"/>
  </r>
  <r>
    <n v="424"/>
    <x v="423"/>
    <s v="CUST424"/>
    <x v="3"/>
    <x v="0"/>
    <x v="25"/>
    <x v="2"/>
    <x v="4"/>
    <n v="240"/>
    <n v="1200"/>
  </r>
  <r>
    <n v="425"/>
    <x v="424"/>
    <s v="CUST425"/>
    <x v="0"/>
    <x v="0"/>
    <x v="9"/>
    <x v="4"/>
    <x v="1"/>
    <n v="439"/>
    <n v="1756"/>
  </r>
  <r>
    <n v="426"/>
    <x v="425"/>
    <s v="CUST426"/>
    <x v="2"/>
    <x v="1"/>
    <x v="5"/>
    <x v="3"/>
    <x v="1"/>
    <n v="122"/>
    <n v="488"/>
  </r>
  <r>
    <n v="427"/>
    <x v="426"/>
    <s v="CUST427"/>
    <x v="3"/>
    <x v="1"/>
    <x v="9"/>
    <x v="1"/>
    <x v="2"/>
    <n v="407"/>
    <n v="814"/>
  </r>
  <r>
    <n v="428"/>
    <x v="427"/>
    <s v="CUST428"/>
    <x v="2"/>
    <x v="0"/>
    <x v="0"/>
    <x v="0"/>
    <x v="1"/>
    <n v="325"/>
    <n v="1300"/>
  </r>
  <r>
    <n v="429"/>
    <x v="428"/>
    <s v="CUST429"/>
    <x v="1"/>
    <x v="0"/>
    <x v="19"/>
    <x v="2"/>
    <x v="3"/>
    <n v="458"/>
    <n v="458"/>
  </r>
  <r>
    <n v="430"/>
    <x v="429"/>
    <s v="CUST430"/>
    <x v="3"/>
    <x v="0"/>
    <x v="4"/>
    <x v="4"/>
    <x v="0"/>
    <n v="478"/>
    <n v="1434"/>
  </r>
  <r>
    <n v="431"/>
    <x v="430"/>
    <s v="CUST431"/>
    <x v="3"/>
    <x v="1"/>
    <x v="33"/>
    <x v="3"/>
    <x v="2"/>
    <n v="155"/>
    <n v="310"/>
  </r>
  <r>
    <n v="432"/>
    <x v="431"/>
    <s v="CUST432"/>
    <x v="0"/>
    <x v="1"/>
    <x v="10"/>
    <x v="0"/>
    <x v="1"/>
    <n v="203"/>
    <n v="812"/>
  </r>
  <r>
    <n v="433"/>
    <x v="432"/>
    <s v="CUST433"/>
    <x v="3"/>
    <x v="1"/>
    <x v="7"/>
    <x v="1"/>
    <x v="3"/>
    <n v="371"/>
    <n v="371"/>
  </r>
  <r>
    <n v="434"/>
    <x v="433"/>
    <s v="CUST434"/>
    <x v="2"/>
    <x v="0"/>
    <x v="1"/>
    <x v="0"/>
    <x v="2"/>
    <n v="132"/>
    <n v="264"/>
  </r>
  <r>
    <n v="435"/>
    <x v="434"/>
    <s v="CUST435"/>
    <x v="0"/>
    <x v="0"/>
    <x v="22"/>
    <x v="4"/>
    <x v="0"/>
    <n v="474"/>
    <n v="1422"/>
  </r>
  <r>
    <n v="436"/>
    <x v="435"/>
    <s v="CUST436"/>
    <x v="1"/>
    <x v="0"/>
    <x v="42"/>
    <x v="4"/>
    <x v="1"/>
    <n v="345"/>
    <n v="1380"/>
  </r>
  <r>
    <n v="437"/>
    <x v="436"/>
    <s v="CUST437"/>
    <x v="2"/>
    <x v="0"/>
    <x v="24"/>
    <x v="4"/>
    <x v="1"/>
    <n v="368"/>
    <n v="1472"/>
  </r>
  <r>
    <n v="438"/>
    <x v="437"/>
    <s v="CUST438"/>
    <x v="1"/>
    <x v="1"/>
    <x v="34"/>
    <x v="0"/>
    <x v="4"/>
    <n v="339"/>
    <n v="1695"/>
  </r>
  <r>
    <n v="439"/>
    <x v="438"/>
    <s v="CUST439"/>
    <x v="1"/>
    <x v="1"/>
    <x v="42"/>
    <x v="4"/>
    <x v="1"/>
    <n v="251"/>
    <n v="1004"/>
  </r>
  <r>
    <n v="440"/>
    <x v="439"/>
    <s v="CUST440"/>
    <x v="1"/>
    <x v="0"/>
    <x v="16"/>
    <x v="4"/>
    <x v="2"/>
    <n v="177"/>
    <n v="354"/>
  </r>
  <r>
    <n v="441"/>
    <x v="440"/>
    <s v="CUST441"/>
    <x v="3"/>
    <x v="1"/>
    <x v="6"/>
    <x v="3"/>
    <x v="4"/>
    <n v="153"/>
    <n v="765"/>
  </r>
  <r>
    <n v="442"/>
    <x v="441"/>
    <s v="CUST442"/>
    <x v="2"/>
    <x v="0"/>
    <x v="16"/>
    <x v="3"/>
    <x v="1"/>
    <n v="405"/>
    <n v="1620"/>
  </r>
  <r>
    <n v="443"/>
    <x v="442"/>
    <s v="CUST443"/>
    <x v="2"/>
    <x v="0"/>
    <x v="34"/>
    <x v="4"/>
    <x v="2"/>
    <n v="448"/>
    <n v="896"/>
  </r>
  <r>
    <n v="444"/>
    <x v="443"/>
    <s v="CUST444"/>
    <x v="3"/>
    <x v="1"/>
    <x v="18"/>
    <x v="0"/>
    <x v="3"/>
    <n v="471"/>
    <n v="471"/>
  </r>
  <r>
    <n v="445"/>
    <x v="444"/>
    <s v="CUST445"/>
    <x v="0"/>
    <x v="0"/>
    <x v="21"/>
    <x v="3"/>
    <x v="3"/>
    <n v="351"/>
    <n v="351"/>
  </r>
  <r>
    <n v="446"/>
    <x v="445"/>
    <s v="CUST446"/>
    <x v="1"/>
    <x v="0"/>
    <x v="23"/>
    <x v="3"/>
    <x v="0"/>
    <n v="487"/>
    <n v="1461"/>
  </r>
  <r>
    <n v="447"/>
    <x v="446"/>
    <s v="CUST447"/>
    <x v="2"/>
    <x v="1"/>
    <x v="38"/>
    <x v="2"/>
    <x v="4"/>
    <n v="190"/>
    <n v="950"/>
  </r>
  <r>
    <n v="448"/>
    <x v="447"/>
    <s v="CUST448"/>
    <x v="3"/>
    <x v="0"/>
    <x v="28"/>
    <x v="3"/>
    <x v="4"/>
    <n v="307"/>
    <n v="1535"/>
  </r>
  <r>
    <n v="449"/>
    <x v="448"/>
    <s v="CUST449"/>
    <x v="1"/>
    <x v="0"/>
    <x v="5"/>
    <x v="2"/>
    <x v="0"/>
    <n v="284"/>
    <n v="852"/>
  </r>
  <r>
    <n v="450"/>
    <x v="449"/>
    <s v="CUST450"/>
    <x v="0"/>
    <x v="0"/>
    <x v="18"/>
    <x v="2"/>
    <x v="0"/>
    <n v="163"/>
    <n v="489"/>
  </r>
  <r>
    <n v="451"/>
    <x v="450"/>
    <s v="CUST451"/>
    <x v="0"/>
    <x v="1"/>
    <x v="24"/>
    <x v="0"/>
    <x v="2"/>
    <n v="281"/>
    <n v="562"/>
  </r>
  <r>
    <n v="452"/>
    <x v="451"/>
    <s v="CUST452"/>
    <x v="1"/>
    <x v="0"/>
    <x v="38"/>
    <x v="4"/>
    <x v="3"/>
    <n v="57"/>
    <n v="57"/>
  </r>
  <r>
    <n v="453"/>
    <x v="452"/>
    <s v="CUST453"/>
    <x v="0"/>
    <x v="1"/>
    <x v="26"/>
    <x v="4"/>
    <x v="1"/>
    <n v="65"/>
    <n v="260"/>
  </r>
  <r>
    <n v="454"/>
    <x v="453"/>
    <s v="CUST454"/>
    <x v="2"/>
    <x v="0"/>
    <x v="15"/>
    <x v="3"/>
    <x v="1"/>
    <n v="93"/>
    <n v="372"/>
  </r>
  <r>
    <n v="455"/>
    <x v="454"/>
    <s v="CUST455"/>
    <x v="2"/>
    <x v="0"/>
    <x v="9"/>
    <x v="2"/>
    <x v="1"/>
    <n v="95"/>
    <n v="380"/>
  </r>
  <r>
    <n v="456"/>
    <x v="455"/>
    <s v="CUST456"/>
    <x v="2"/>
    <x v="1"/>
    <x v="17"/>
    <x v="1"/>
    <x v="4"/>
    <n v="282"/>
    <n v="1410"/>
  </r>
  <r>
    <n v="457"/>
    <x v="456"/>
    <s v="CUST457"/>
    <x v="0"/>
    <x v="1"/>
    <x v="13"/>
    <x v="0"/>
    <x v="1"/>
    <n v="359"/>
    <n v="1436"/>
  </r>
  <r>
    <n v="458"/>
    <x v="457"/>
    <s v="CUST458"/>
    <x v="2"/>
    <x v="1"/>
    <x v="3"/>
    <x v="1"/>
    <x v="2"/>
    <n v="306"/>
    <n v="612"/>
  </r>
  <r>
    <n v="459"/>
    <x v="458"/>
    <s v="CUST459"/>
    <x v="3"/>
    <x v="0"/>
    <x v="28"/>
    <x v="1"/>
    <x v="3"/>
    <n v="227"/>
    <n v="227"/>
  </r>
  <r>
    <n v="460"/>
    <x v="459"/>
    <s v="CUST460"/>
    <x v="2"/>
    <x v="0"/>
    <x v="31"/>
    <x v="0"/>
    <x v="4"/>
    <n v="244"/>
    <n v="1220"/>
  </r>
  <r>
    <n v="461"/>
    <x v="460"/>
    <s v="CUST461"/>
    <x v="2"/>
    <x v="1"/>
    <x v="28"/>
    <x v="4"/>
    <x v="3"/>
    <n v="223"/>
    <n v="223"/>
  </r>
  <r>
    <n v="462"/>
    <x v="461"/>
    <s v="CUST462"/>
    <x v="0"/>
    <x v="1"/>
    <x v="19"/>
    <x v="4"/>
    <x v="2"/>
    <n v="286"/>
    <n v="572"/>
  </r>
  <r>
    <n v="463"/>
    <x v="462"/>
    <s v="CUST463"/>
    <x v="2"/>
    <x v="1"/>
    <x v="37"/>
    <x v="0"/>
    <x v="4"/>
    <n v="422"/>
    <n v="2110"/>
  </r>
  <r>
    <n v="464"/>
    <x v="463"/>
    <s v="CUST464"/>
    <x v="1"/>
    <x v="0"/>
    <x v="38"/>
    <x v="4"/>
    <x v="3"/>
    <n v="227"/>
    <n v="227"/>
  </r>
  <r>
    <n v="465"/>
    <x v="464"/>
    <s v="CUST465"/>
    <x v="3"/>
    <x v="1"/>
    <x v="34"/>
    <x v="0"/>
    <x v="4"/>
    <n v="315"/>
    <n v="1575"/>
  </r>
  <r>
    <n v="466"/>
    <x v="465"/>
    <s v="CUST466"/>
    <x v="0"/>
    <x v="0"/>
    <x v="42"/>
    <x v="0"/>
    <x v="4"/>
    <n v="248"/>
    <n v="1240"/>
  </r>
  <r>
    <n v="467"/>
    <x v="466"/>
    <s v="CUST467"/>
    <x v="3"/>
    <x v="0"/>
    <x v="34"/>
    <x v="3"/>
    <x v="0"/>
    <n v="422"/>
    <n v="1266"/>
  </r>
  <r>
    <n v="468"/>
    <x v="467"/>
    <s v="CUST468"/>
    <x v="1"/>
    <x v="0"/>
    <x v="20"/>
    <x v="0"/>
    <x v="3"/>
    <n v="337"/>
    <n v="337"/>
  </r>
  <r>
    <n v="469"/>
    <x v="468"/>
    <s v="CUST469"/>
    <x v="0"/>
    <x v="0"/>
    <x v="20"/>
    <x v="1"/>
    <x v="2"/>
    <n v="103"/>
    <n v="206"/>
  </r>
  <r>
    <n v="470"/>
    <x v="469"/>
    <s v="CUST470"/>
    <x v="0"/>
    <x v="1"/>
    <x v="37"/>
    <x v="1"/>
    <x v="0"/>
    <n v="24"/>
    <n v="72"/>
  </r>
  <r>
    <n v="471"/>
    <x v="470"/>
    <s v="CUST471"/>
    <x v="2"/>
    <x v="0"/>
    <x v="4"/>
    <x v="4"/>
    <x v="1"/>
    <n v="271"/>
    <n v="1084"/>
  </r>
  <r>
    <n v="472"/>
    <x v="471"/>
    <s v="CUST472"/>
    <x v="3"/>
    <x v="0"/>
    <x v="13"/>
    <x v="3"/>
    <x v="3"/>
    <n v="101"/>
    <n v="101"/>
  </r>
  <r>
    <n v="473"/>
    <x v="472"/>
    <s v="CUST473"/>
    <x v="1"/>
    <x v="1"/>
    <x v="42"/>
    <x v="4"/>
    <x v="3"/>
    <n v="396"/>
    <n v="396"/>
  </r>
  <r>
    <n v="474"/>
    <x v="473"/>
    <s v="CUST474"/>
    <x v="1"/>
    <x v="0"/>
    <x v="24"/>
    <x v="4"/>
    <x v="2"/>
    <n v="102"/>
    <n v="204"/>
  </r>
  <r>
    <n v="475"/>
    <x v="474"/>
    <s v="CUST475"/>
    <x v="0"/>
    <x v="0"/>
    <x v="33"/>
    <x v="1"/>
    <x v="0"/>
    <n v="139"/>
    <n v="417"/>
  </r>
  <r>
    <n v="476"/>
    <x v="475"/>
    <s v="CUST476"/>
    <x v="2"/>
    <x v="0"/>
    <x v="22"/>
    <x v="3"/>
    <x v="0"/>
    <n v="52"/>
    <n v="156"/>
  </r>
  <r>
    <n v="477"/>
    <x v="476"/>
    <s v="CUST477"/>
    <x v="0"/>
    <x v="1"/>
    <x v="29"/>
    <x v="0"/>
    <x v="0"/>
    <n v="178"/>
    <n v="534"/>
  </r>
  <r>
    <n v="478"/>
    <x v="477"/>
    <s v="CUST478"/>
    <x v="0"/>
    <x v="0"/>
    <x v="18"/>
    <x v="3"/>
    <x v="1"/>
    <n v="407"/>
    <n v="1628"/>
  </r>
  <r>
    <n v="479"/>
    <x v="478"/>
    <s v="CUST479"/>
    <x v="0"/>
    <x v="0"/>
    <x v="0"/>
    <x v="2"/>
    <x v="3"/>
    <n v="495"/>
    <n v="495"/>
  </r>
  <r>
    <n v="480"/>
    <x v="479"/>
    <s v="CUST480"/>
    <x v="0"/>
    <x v="0"/>
    <x v="36"/>
    <x v="2"/>
    <x v="3"/>
    <n v="276"/>
    <n v="276"/>
  </r>
  <r>
    <n v="481"/>
    <x v="480"/>
    <s v="CUST481"/>
    <x v="1"/>
    <x v="1"/>
    <x v="34"/>
    <x v="1"/>
    <x v="4"/>
    <n v="459"/>
    <n v="2295"/>
  </r>
  <r>
    <n v="482"/>
    <x v="481"/>
    <s v="CUST482"/>
    <x v="1"/>
    <x v="1"/>
    <x v="25"/>
    <x v="2"/>
    <x v="3"/>
    <n v="183"/>
    <n v="183"/>
  </r>
  <r>
    <n v="483"/>
    <x v="482"/>
    <s v="CUST483"/>
    <x v="0"/>
    <x v="1"/>
    <x v="25"/>
    <x v="1"/>
    <x v="2"/>
    <n v="38"/>
    <n v="76"/>
  </r>
  <r>
    <n v="484"/>
    <x v="483"/>
    <s v="CUST484"/>
    <x v="0"/>
    <x v="0"/>
    <x v="30"/>
    <x v="4"/>
    <x v="4"/>
    <n v="463"/>
    <n v="2315"/>
  </r>
  <r>
    <n v="485"/>
    <x v="484"/>
    <s v="CUST485"/>
    <x v="2"/>
    <x v="1"/>
    <x v="31"/>
    <x v="4"/>
    <x v="3"/>
    <n v="340"/>
    <n v="340"/>
  </r>
  <r>
    <n v="486"/>
    <x v="485"/>
    <s v="CUST486"/>
    <x v="0"/>
    <x v="1"/>
    <x v="42"/>
    <x v="2"/>
    <x v="1"/>
    <n v="42"/>
    <n v="168"/>
  </r>
  <r>
    <n v="487"/>
    <x v="486"/>
    <s v="CUST487"/>
    <x v="1"/>
    <x v="0"/>
    <x v="11"/>
    <x v="4"/>
    <x v="3"/>
    <n v="138"/>
    <n v="138"/>
  </r>
  <r>
    <n v="488"/>
    <x v="487"/>
    <s v="CUST488"/>
    <x v="3"/>
    <x v="1"/>
    <x v="11"/>
    <x v="0"/>
    <x v="1"/>
    <n v="74"/>
    <n v="296"/>
  </r>
  <r>
    <n v="489"/>
    <x v="488"/>
    <s v="CUST489"/>
    <x v="1"/>
    <x v="0"/>
    <x v="5"/>
    <x v="3"/>
    <x v="2"/>
    <n v="198"/>
    <n v="396"/>
  </r>
  <r>
    <n v="490"/>
    <x v="489"/>
    <s v="CUST490"/>
    <x v="2"/>
    <x v="1"/>
    <x v="29"/>
    <x v="0"/>
    <x v="4"/>
    <n v="377"/>
    <n v="1885"/>
  </r>
  <r>
    <n v="491"/>
    <x v="490"/>
    <s v="CUST491"/>
    <x v="1"/>
    <x v="1"/>
    <x v="26"/>
    <x v="1"/>
    <x v="4"/>
    <n v="442"/>
    <n v="2210"/>
  </r>
  <r>
    <n v="492"/>
    <x v="491"/>
    <s v="CUST492"/>
    <x v="3"/>
    <x v="1"/>
    <x v="31"/>
    <x v="0"/>
    <x v="4"/>
    <n v="318"/>
    <n v="1590"/>
  </r>
  <r>
    <n v="493"/>
    <x v="492"/>
    <s v="CUST493"/>
    <x v="0"/>
    <x v="1"/>
    <x v="39"/>
    <x v="4"/>
    <x v="3"/>
    <n v="20"/>
    <n v="20"/>
  </r>
  <r>
    <n v="494"/>
    <x v="493"/>
    <s v="CUST494"/>
    <x v="3"/>
    <x v="0"/>
    <x v="6"/>
    <x v="3"/>
    <x v="4"/>
    <n v="206"/>
    <n v="1030"/>
  </r>
  <r>
    <n v="495"/>
    <x v="494"/>
    <s v="CUST495"/>
    <x v="0"/>
    <x v="1"/>
    <x v="28"/>
    <x v="4"/>
    <x v="1"/>
    <n v="135"/>
    <n v="540"/>
  </r>
  <r>
    <n v="496"/>
    <x v="495"/>
    <s v="CUST496"/>
    <x v="0"/>
    <x v="0"/>
    <x v="1"/>
    <x v="2"/>
    <x v="1"/>
    <n v="329"/>
    <n v="1316"/>
  </r>
  <r>
    <n v="497"/>
    <x v="496"/>
    <s v="CUST497"/>
    <x v="1"/>
    <x v="0"/>
    <x v="4"/>
    <x v="2"/>
    <x v="0"/>
    <n v="478"/>
    <n v="1434"/>
  </r>
  <r>
    <n v="498"/>
    <x v="497"/>
    <s v="CUST498"/>
    <x v="1"/>
    <x v="0"/>
    <x v="26"/>
    <x v="1"/>
    <x v="1"/>
    <n v="345"/>
    <n v="1380"/>
  </r>
  <r>
    <n v="499"/>
    <x v="498"/>
    <s v="CUST499"/>
    <x v="1"/>
    <x v="0"/>
    <x v="8"/>
    <x v="4"/>
    <x v="4"/>
    <n v="302"/>
    <n v="1510"/>
  </r>
  <r>
    <n v="500"/>
    <x v="499"/>
    <s v="CUST500"/>
    <x v="2"/>
    <x v="0"/>
    <x v="29"/>
    <x v="4"/>
    <x v="1"/>
    <n v="44"/>
    <n v="176"/>
  </r>
  <r>
    <n v="501"/>
    <x v="500"/>
    <s v="CUST501"/>
    <x v="1"/>
    <x v="0"/>
    <x v="10"/>
    <x v="3"/>
    <x v="3"/>
    <n v="288"/>
    <n v="288"/>
  </r>
  <r>
    <n v="502"/>
    <x v="501"/>
    <s v="CUST502"/>
    <x v="2"/>
    <x v="1"/>
    <x v="5"/>
    <x v="2"/>
    <x v="1"/>
    <n v="368"/>
    <n v="1472"/>
  </r>
  <r>
    <n v="503"/>
    <x v="502"/>
    <s v="CUST503"/>
    <x v="1"/>
    <x v="0"/>
    <x v="33"/>
    <x v="2"/>
    <x v="1"/>
    <n v="310"/>
    <n v="1240"/>
  </r>
  <r>
    <n v="504"/>
    <x v="503"/>
    <s v="CUST504"/>
    <x v="0"/>
    <x v="0"/>
    <x v="26"/>
    <x v="2"/>
    <x v="0"/>
    <n v="418"/>
    <n v="1254"/>
  </r>
  <r>
    <n v="505"/>
    <x v="504"/>
    <s v="CUST505"/>
    <x v="2"/>
    <x v="1"/>
    <x v="5"/>
    <x v="2"/>
    <x v="1"/>
    <n v="354"/>
    <n v="1416"/>
  </r>
  <r>
    <n v="506"/>
    <x v="505"/>
    <s v="CUST506"/>
    <x v="3"/>
    <x v="1"/>
    <x v="24"/>
    <x v="1"/>
    <x v="2"/>
    <n v="27"/>
    <n v="54"/>
  </r>
  <r>
    <n v="507"/>
    <x v="506"/>
    <s v="CUST507"/>
    <x v="2"/>
    <x v="1"/>
    <x v="23"/>
    <x v="3"/>
    <x v="4"/>
    <n v="182"/>
    <n v="910"/>
  </r>
  <r>
    <n v="508"/>
    <x v="507"/>
    <s v="CUST508"/>
    <x v="2"/>
    <x v="1"/>
    <x v="24"/>
    <x v="3"/>
    <x v="2"/>
    <n v="88"/>
    <n v="176"/>
  </r>
  <r>
    <n v="509"/>
    <x v="508"/>
    <s v="CUST509"/>
    <x v="3"/>
    <x v="1"/>
    <x v="8"/>
    <x v="4"/>
    <x v="3"/>
    <n v="182"/>
    <n v="182"/>
  </r>
  <r>
    <n v="510"/>
    <x v="509"/>
    <s v="CUST510"/>
    <x v="2"/>
    <x v="1"/>
    <x v="1"/>
    <x v="0"/>
    <x v="2"/>
    <n v="349"/>
    <n v="698"/>
  </r>
  <r>
    <n v="511"/>
    <x v="510"/>
    <s v="CUST511"/>
    <x v="0"/>
    <x v="0"/>
    <x v="28"/>
    <x v="1"/>
    <x v="4"/>
    <n v="133"/>
    <n v="665"/>
  </r>
  <r>
    <n v="512"/>
    <x v="511"/>
    <s v="CUST512"/>
    <x v="1"/>
    <x v="1"/>
    <x v="18"/>
    <x v="3"/>
    <x v="4"/>
    <n v="74"/>
    <n v="370"/>
  </r>
  <r>
    <n v="513"/>
    <x v="512"/>
    <s v="CUST513"/>
    <x v="3"/>
    <x v="0"/>
    <x v="22"/>
    <x v="1"/>
    <x v="0"/>
    <n v="101"/>
    <n v="303"/>
  </r>
  <r>
    <n v="514"/>
    <x v="513"/>
    <s v="CUST514"/>
    <x v="1"/>
    <x v="0"/>
    <x v="29"/>
    <x v="3"/>
    <x v="3"/>
    <n v="317"/>
    <n v="317"/>
  </r>
  <r>
    <n v="515"/>
    <x v="514"/>
    <s v="CUST515"/>
    <x v="0"/>
    <x v="1"/>
    <x v="33"/>
    <x v="0"/>
    <x v="2"/>
    <n v="249"/>
    <n v="498"/>
  </r>
  <r>
    <n v="516"/>
    <x v="515"/>
    <s v="CUST516"/>
    <x v="3"/>
    <x v="0"/>
    <x v="42"/>
    <x v="1"/>
    <x v="4"/>
    <n v="52"/>
    <n v="260"/>
  </r>
  <r>
    <n v="517"/>
    <x v="516"/>
    <s v="CUST517"/>
    <x v="1"/>
    <x v="0"/>
    <x v="33"/>
    <x v="3"/>
    <x v="4"/>
    <n v="201"/>
    <n v="1005"/>
  </r>
  <r>
    <n v="518"/>
    <x v="517"/>
    <s v="CUST518"/>
    <x v="1"/>
    <x v="0"/>
    <x v="15"/>
    <x v="1"/>
    <x v="4"/>
    <n v="292"/>
    <n v="1460"/>
  </r>
  <r>
    <n v="519"/>
    <x v="518"/>
    <s v="CUST519"/>
    <x v="0"/>
    <x v="0"/>
    <x v="40"/>
    <x v="2"/>
    <x v="4"/>
    <n v="382"/>
    <n v="1910"/>
  </r>
  <r>
    <n v="520"/>
    <x v="519"/>
    <s v="CUST520"/>
    <x v="1"/>
    <x v="0"/>
    <x v="8"/>
    <x v="0"/>
    <x v="0"/>
    <n v="171"/>
    <n v="513"/>
  </r>
  <r>
    <n v="521"/>
    <x v="520"/>
    <s v="CUST521"/>
    <x v="0"/>
    <x v="1"/>
    <x v="6"/>
    <x v="0"/>
    <x v="4"/>
    <n v="59"/>
    <n v="295"/>
  </r>
  <r>
    <n v="522"/>
    <x v="521"/>
    <s v="CUST522"/>
    <x v="2"/>
    <x v="1"/>
    <x v="20"/>
    <x v="3"/>
    <x v="3"/>
    <n v="61"/>
    <n v="61"/>
  </r>
  <r>
    <n v="523"/>
    <x v="522"/>
    <s v="CUST523"/>
    <x v="0"/>
    <x v="0"/>
    <x v="20"/>
    <x v="0"/>
    <x v="3"/>
    <n v="412"/>
    <n v="412"/>
  </r>
  <r>
    <n v="524"/>
    <x v="523"/>
    <s v="CUST524"/>
    <x v="2"/>
    <x v="1"/>
    <x v="41"/>
    <x v="0"/>
    <x v="2"/>
    <n v="438"/>
    <n v="876"/>
  </r>
  <r>
    <n v="525"/>
    <x v="524"/>
    <s v="CUST525"/>
    <x v="3"/>
    <x v="0"/>
    <x v="11"/>
    <x v="2"/>
    <x v="0"/>
    <n v="277"/>
    <n v="831"/>
  </r>
  <r>
    <n v="526"/>
    <x v="525"/>
    <s v="CUST526"/>
    <x v="1"/>
    <x v="0"/>
    <x v="6"/>
    <x v="2"/>
    <x v="1"/>
    <n v="167"/>
    <n v="668"/>
  </r>
  <r>
    <n v="527"/>
    <x v="526"/>
    <s v="CUST527"/>
    <x v="0"/>
    <x v="1"/>
    <x v="7"/>
    <x v="2"/>
    <x v="3"/>
    <n v="356"/>
    <n v="356"/>
  </r>
  <r>
    <n v="528"/>
    <x v="527"/>
    <s v="CUST528"/>
    <x v="0"/>
    <x v="1"/>
    <x v="16"/>
    <x v="1"/>
    <x v="1"/>
    <n v="359"/>
    <n v="1436"/>
  </r>
  <r>
    <n v="529"/>
    <x v="528"/>
    <s v="CUST529"/>
    <x v="1"/>
    <x v="0"/>
    <x v="9"/>
    <x v="2"/>
    <x v="0"/>
    <n v="473"/>
    <n v="1419"/>
  </r>
  <r>
    <n v="530"/>
    <x v="529"/>
    <s v="CUST530"/>
    <x v="1"/>
    <x v="0"/>
    <x v="28"/>
    <x v="2"/>
    <x v="0"/>
    <n v="412"/>
    <n v="1236"/>
  </r>
  <r>
    <n v="531"/>
    <x v="530"/>
    <s v="CUST531"/>
    <x v="3"/>
    <x v="1"/>
    <x v="37"/>
    <x v="1"/>
    <x v="4"/>
    <n v="483"/>
    <n v="2415"/>
  </r>
  <r>
    <n v="532"/>
    <x v="531"/>
    <s v="CUST532"/>
    <x v="3"/>
    <x v="1"/>
    <x v="4"/>
    <x v="4"/>
    <x v="1"/>
    <n v="78"/>
    <n v="312"/>
  </r>
  <r>
    <n v="533"/>
    <x v="532"/>
    <s v="CUST533"/>
    <x v="0"/>
    <x v="0"/>
    <x v="34"/>
    <x v="0"/>
    <x v="4"/>
    <n v="425"/>
    <n v="2125"/>
  </r>
  <r>
    <n v="534"/>
    <x v="533"/>
    <s v="CUST534"/>
    <x v="3"/>
    <x v="1"/>
    <x v="20"/>
    <x v="2"/>
    <x v="2"/>
    <n v="127"/>
    <n v="254"/>
  </r>
  <r>
    <n v="535"/>
    <x v="534"/>
    <s v="CUST535"/>
    <x v="2"/>
    <x v="1"/>
    <x v="35"/>
    <x v="0"/>
    <x v="3"/>
    <n v="279"/>
    <n v="279"/>
  </r>
  <r>
    <n v="536"/>
    <x v="535"/>
    <s v="CUST536"/>
    <x v="3"/>
    <x v="0"/>
    <x v="36"/>
    <x v="0"/>
    <x v="3"/>
    <n v="201"/>
    <n v="201"/>
  </r>
  <r>
    <n v="537"/>
    <x v="536"/>
    <s v="CUST537"/>
    <x v="3"/>
    <x v="0"/>
    <x v="10"/>
    <x v="4"/>
    <x v="0"/>
    <n v="114"/>
    <n v="342"/>
  </r>
  <r>
    <n v="538"/>
    <x v="537"/>
    <s v="CUST538"/>
    <x v="0"/>
    <x v="0"/>
    <x v="4"/>
    <x v="1"/>
    <x v="0"/>
    <n v="176"/>
    <n v="528"/>
  </r>
  <r>
    <n v="539"/>
    <x v="538"/>
    <s v="CUST539"/>
    <x v="2"/>
    <x v="1"/>
    <x v="6"/>
    <x v="1"/>
    <x v="1"/>
    <n v="464"/>
    <n v="1856"/>
  </r>
  <r>
    <n v="540"/>
    <x v="539"/>
    <s v="CUST540"/>
    <x v="3"/>
    <x v="0"/>
    <x v="34"/>
    <x v="4"/>
    <x v="0"/>
    <n v="101"/>
    <n v="303"/>
  </r>
  <r>
    <n v="541"/>
    <x v="540"/>
    <s v="CUST541"/>
    <x v="2"/>
    <x v="0"/>
    <x v="41"/>
    <x v="0"/>
    <x v="4"/>
    <n v="87"/>
    <n v="435"/>
  </r>
  <r>
    <n v="542"/>
    <x v="541"/>
    <s v="CUST542"/>
    <x v="2"/>
    <x v="1"/>
    <x v="24"/>
    <x v="3"/>
    <x v="0"/>
    <n v="260"/>
    <n v="780"/>
  </r>
  <r>
    <n v="543"/>
    <x v="542"/>
    <s v="CUST543"/>
    <x v="2"/>
    <x v="1"/>
    <x v="38"/>
    <x v="0"/>
    <x v="3"/>
    <n v="202"/>
    <n v="202"/>
  </r>
  <r>
    <n v="544"/>
    <x v="543"/>
    <s v="CUST544"/>
    <x v="1"/>
    <x v="1"/>
    <x v="37"/>
    <x v="3"/>
    <x v="2"/>
    <n v="149"/>
    <n v="298"/>
  </r>
  <r>
    <n v="545"/>
    <x v="544"/>
    <s v="CUST545"/>
    <x v="1"/>
    <x v="0"/>
    <x v="33"/>
    <x v="0"/>
    <x v="2"/>
    <n v="126"/>
    <n v="252"/>
  </r>
  <r>
    <n v="546"/>
    <x v="545"/>
    <s v="CUST546"/>
    <x v="1"/>
    <x v="1"/>
    <x v="38"/>
    <x v="3"/>
    <x v="1"/>
    <n v="458"/>
    <n v="1832"/>
  </r>
  <r>
    <n v="547"/>
    <x v="546"/>
    <s v="CUST547"/>
    <x v="1"/>
    <x v="1"/>
    <x v="1"/>
    <x v="2"/>
    <x v="3"/>
    <n v="492"/>
    <n v="492"/>
  </r>
  <r>
    <n v="548"/>
    <x v="547"/>
    <s v="CUST548"/>
    <x v="0"/>
    <x v="1"/>
    <x v="38"/>
    <x v="2"/>
    <x v="0"/>
    <n v="408"/>
    <n v="1224"/>
  </r>
  <r>
    <n v="549"/>
    <x v="548"/>
    <s v="CUST549"/>
    <x v="3"/>
    <x v="1"/>
    <x v="40"/>
    <x v="2"/>
    <x v="0"/>
    <n v="66"/>
    <n v="198"/>
  </r>
  <r>
    <n v="550"/>
    <x v="549"/>
    <s v="CUST550"/>
    <x v="1"/>
    <x v="1"/>
    <x v="24"/>
    <x v="4"/>
    <x v="3"/>
    <n v="156"/>
    <n v="156"/>
  </r>
  <r>
    <n v="551"/>
    <x v="550"/>
    <s v="CUST551"/>
    <x v="0"/>
    <x v="1"/>
    <x v="40"/>
    <x v="1"/>
    <x v="1"/>
    <n v="253"/>
    <n v="1012"/>
  </r>
  <r>
    <n v="552"/>
    <x v="551"/>
    <s v="CUST552"/>
    <x v="3"/>
    <x v="0"/>
    <x v="39"/>
    <x v="1"/>
    <x v="1"/>
    <n v="186"/>
    <n v="744"/>
  </r>
  <r>
    <n v="553"/>
    <x v="552"/>
    <s v="CUST553"/>
    <x v="1"/>
    <x v="1"/>
    <x v="1"/>
    <x v="1"/>
    <x v="2"/>
    <n v="186"/>
    <n v="372"/>
  </r>
  <r>
    <n v="554"/>
    <x v="553"/>
    <s v="CUST554"/>
    <x v="3"/>
    <x v="0"/>
    <x v="24"/>
    <x v="0"/>
    <x v="3"/>
    <n v="456"/>
    <n v="456"/>
  </r>
  <r>
    <n v="555"/>
    <x v="554"/>
    <s v="CUST555"/>
    <x v="1"/>
    <x v="1"/>
    <x v="11"/>
    <x v="3"/>
    <x v="1"/>
    <n v="439"/>
    <n v="1756"/>
  </r>
  <r>
    <n v="556"/>
    <x v="555"/>
    <s v="CUST556"/>
    <x v="0"/>
    <x v="0"/>
    <x v="39"/>
    <x v="3"/>
    <x v="1"/>
    <n v="203"/>
    <n v="812"/>
  </r>
  <r>
    <n v="557"/>
    <x v="556"/>
    <s v="CUST557"/>
    <x v="2"/>
    <x v="1"/>
    <x v="15"/>
    <x v="4"/>
    <x v="1"/>
    <n v="77"/>
    <n v="308"/>
  </r>
  <r>
    <n v="558"/>
    <x v="557"/>
    <s v="CUST558"/>
    <x v="2"/>
    <x v="1"/>
    <x v="28"/>
    <x v="1"/>
    <x v="1"/>
    <n v="273"/>
    <n v="1092"/>
  </r>
  <r>
    <n v="559"/>
    <x v="558"/>
    <s v="CUST559"/>
    <x v="3"/>
    <x v="0"/>
    <x v="20"/>
    <x v="3"/>
    <x v="2"/>
    <n v="35"/>
    <n v="70"/>
  </r>
  <r>
    <n v="560"/>
    <x v="559"/>
    <s v="CUST560"/>
    <x v="0"/>
    <x v="1"/>
    <x v="33"/>
    <x v="3"/>
    <x v="2"/>
    <n v="156"/>
    <n v="312"/>
  </r>
  <r>
    <n v="561"/>
    <x v="560"/>
    <s v="CUST561"/>
    <x v="2"/>
    <x v="0"/>
    <x v="40"/>
    <x v="1"/>
    <x v="3"/>
    <n v="374"/>
    <n v="374"/>
  </r>
  <r>
    <n v="562"/>
    <x v="561"/>
    <s v="CUST562"/>
    <x v="1"/>
    <x v="0"/>
    <x v="9"/>
    <x v="0"/>
    <x v="1"/>
    <n v="154"/>
    <n v="616"/>
  </r>
  <r>
    <n v="563"/>
    <x v="562"/>
    <s v="CUST563"/>
    <x v="2"/>
    <x v="0"/>
    <x v="6"/>
    <x v="1"/>
    <x v="3"/>
    <n v="284"/>
    <n v="284"/>
  </r>
  <r>
    <n v="564"/>
    <x v="563"/>
    <s v="CUST564"/>
    <x v="3"/>
    <x v="0"/>
    <x v="9"/>
    <x v="4"/>
    <x v="4"/>
    <n v="276"/>
    <n v="1380"/>
  </r>
  <r>
    <n v="565"/>
    <x v="564"/>
    <s v="CUST565"/>
    <x v="3"/>
    <x v="0"/>
    <x v="40"/>
    <x v="1"/>
    <x v="0"/>
    <n v="180"/>
    <n v="540"/>
  </r>
  <r>
    <n v="566"/>
    <x v="565"/>
    <s v="CUST566"/>
    <x v="0"/>
    <x v="1"/>
    <x v="18"/>
    <x v="4"/>
    <x v="1"/>
    <n v="142"/>
    <n v="568"/>
  </r>
  <r>
    <n v="567"/>
    <x v="566"/>
    <s v="CUST567"/>
    <x v="3"/>
    <x v="1"/>
    <x v="30"/>
    <x v="0"/>
    <x v="0"/>
    <n v="220"/>
    <n v="660"/>
  </r>
  <r>
    <n v="568"/>
    <x v="567"/>
    <s v="CUST568"/>
    <x v="2"/>
    <x v="0"/>
    <x v="4"/>
    <x v="4"/>
    <x v="0"/>
    <n v="78"/>
    <n v="234"/>
  </r>
  <r>
    <n v="569"/>
    <x v="568"/>
    <s v="CUST569"/>
    <x v="2"/>
    <x v="1"/>
    <x v="14"/>
    <x v="1"/>
    <x v="0"/>
    <n v="372"/>
    <n v="1116"/>
  </r>
  <r>
    <n v="570"/>
    <x v="569"/>
    <s v="CUST570"/>
    <x v="2"/>
    <x v="1"/>
    <x v="19"/>
    <x v="2"/>
    <x v="4"/>
    <n v="263"/>
    <n v="1315"/>
  </r>
  <r>
    <n v="571"/>
    <x v="570"/>
    <s v="CUST571"/>
    <x v="2"/>
    <x v="1"/>
    <x v="35"/>
    <x v="3"/>
    <x v="3"/>
    <n v="367"/>
    <n v="367"/>
  </r>
  <r>
    <n v="572"/>
    <x v="571"/>
    <s v="CUST572"/>
    <x v="0"/>
    <x v="0"/>
    <x v="15"/>
    <x v="2"/>
    <x v="1"/>
    <n v="188"/>
    <n v="752"/>
  </r>
  <r>
    <n v="573"/>
    <x v="572"/>
    <s v="CUST573"/>
    <x v="1"/>
    <x v="0"/>
    <x v="36"/>
    <x v="0"/>
    <x v="3"/>
    <n v="32"/>
    <n v="32"/>
  </r>
  <r>
    <n v="574"/>
    <x v="573"/>
    <s v="CUST574"/>
    <x v="1"/>
    <x v="1"/>
    <x v="35"/>
    <x v="2"/>
    <x v="0"/>
    <n v="27"/>
    <n v="81"/>
  </r>
  <r>
    <n v="575"/>
    <x v="574"/>
    <s v="CUST575"/>
    <x v="0"/>
    <x v="1"/>
    <x v="6"/>
    <x v="4"/>
    <x v="2"/>
    <n v="188"/>
    <n v="376"/>
  </r>
  <r>
    <n v="576"/>
    <x v="575"/>
    <s v="CUST576"/>
    <x v="3"/>
    <x v="0"/>
    <x v="2"/>
    <x v="3"/>
    <x v="0"/>
    <n v="442"/>
    <n v="1326"/>
  </r>
  <r>
    <n v="577"/>
    <x v="576"/>
    <s v="CUST577"/>
    <x v="1"/>
    <x v="0"/>
    <x v="26"/>
    <x v="2"/>
    <x v="1"/>
    <n v="105"/>
    <n v="420"/>
  </r>
  <r>
    <n v="578"/>
    <x v="577"/>
    <s v="CUST578"/>
    <x v="3"/>
    <x v="0"/>
    <x v="2"/>
    <x v="0"/>
    <x v="4"/>
    <n v="335"/>
    <n v="1675"/>
  </r>
  <r>
    <n v="579"/>
    <x v="578"/>
    <s v="CUST579"/>
    <x v="1"/>
    <x v="1"/>
    <x v="4"/>
    <x v="0"/>
    <x v="1"/>
    <n v="257"/>
    <n v="1028"/>
  </r>
  <r>
    <n v="580"/>
    <x v="579"/>
    <s v="CUST580"/>
    <x v="3"/>
    <x v="0"/>
    <x v="23"/>
    <x v="3"/>
    <x v="2"/>
    <n v="230"/>
    <n v="460"/>
  </r>
  <r>
    <n v="581"/>
    <x v="580"/>
    <s v="CUST581"/>
    <x v="0"/>
    <x v="1"/>
    <x v="20"/>
    <x v="0"/>
    <x v="0"/>
    <n v="279"/>
    <n v="837"/>
  </r>
  <r>
    <n v="582"/>
    <x v="581"/>
    <s v="CUST582"/>
    <x v="2"/>
    <x v="0"/>
    <x v="0"/>
    <x v="4"/>
    <x v="4"/>
    <n v="367"/>
    <n v="1835"/>
  </r>
  <r>
    <n v="583"/>
    <x v="582"/>
    <s v="CUST583"/>
    <x v="3"/>
    <x v="0"/>
    <x v="3"/>
    <x v="0"/>
    <x v="3"/>
    <n v="241"/>
    <n v="241"/>
  </r>
  <r>
    <n v="584"/>
    <x v="583"/>
    <s v="CUST584"/>
    <x v="2"/>
    <x v="0"/>
    <x v="29"/>
    <x v="3"/>
    <x v="3"/>
    <n v="155"/>
    <n v="155"/>
  </r>
  <r>
    <n v="585"/>
    <x v="584"/>
    <s v="CUST585"/>
    <x v="3"/>
    <x v="1"/>
    <x v="15"/>
    <x v="1"/>
    <x v="1"/>
    <n v="184"/>
    <n v="736"/>
  </r>
  <r>
    <n v="586"/>
    <x v="585"/>
    <s v="CUST586"/>
    <x v="3"/>
    <x v="0"/>
    <x v="20"/>
    <x v="0"/>
    <x v="4"/>
    <n v="325"/>
    <n v="1625"/>
  </r>
  <r>
    <n v="587"/>
    <x v="586"/>
    <s v="CUST587"/>
    <x v="3"/>
    <x v="1"/>
    <x v="36"/>
    <x v="4"/>
    <x v="0"/>
    <n v="455"/>
    <n v="1365"/>
  </r>
  <r>
    <n v="588"/>
    <x v="587"/>
    <s v="CUST588"/>
    <x v="3"/>
    <x v="0"/>
    <x v="11"/>
    <x v="0"/>
    <x v="3"/>
    <n v="413"/>
    <n v="413"/>
  </r>
  <r>
    <n v="589"/>
    <x v="588"/>
    <s v="CUST589"/>
    <x v="3"/>
    <x v="0"/>
    <x v="5"/>
    <x v="3"/>
    <x v="0"/>
    <n v="26"/>
    <n v="78"/>
  </r>
  <r>
    <n v="590"/>
    <x v="589"/>
    <s v="CUST590"/>
    <x v="2"/>
    <x v="1"/>
    <x v="27"/>
    <x v="2"/>
    <x v="0"/>
    <n v="259"/>
    <n v="777"/>
  </r>
  <r>
    <n v="591"/>
    <x v="590"/>
    <s v="CUST591"/>
    <x v="3"/>
    <x v="0"/>
    <x v="1"/>
    <x v="4"/>
    <x v="0"/>
    <n v="350"/>
    <n v="1050"/>
  </r>
  <r>
    <n v="592"/>
    <x v="591"/>
    <s v="CUST592"/>
    <x v="2"/>
    <x v="0"/>
    <x v="25"/>
    <x v="1"/>
    <x v="1"/>
    <n v="92"/>
    <n v="368"/>
  </r>
  <r>
    <n v="593"/>
    <x v="592"/>
    <s v="CUST593"/>
    <x v="0"/>
    <x v="0"/>
    <x v="35"/>
    <x v="2"/>
    <x v="0"/>
    <n v="232"/>
    <n v="696"/>
  </r>
  <r>
    <n v="594"/>
    <x v="593"/>
    <s v="CUST594"/>
    <x v="1"/>
    <x v="1"/>
    <x v="1"/>
    <x v="0"/>
    <x v="1"/>
    <n v="300"/>
    <n v="1200"/>
  </r>
  <r>
    <n v="595"/>
    <x v="594"/>
    <s v="CUST595"/>
    <x v="3"/>
    <x v="0"/>
    <x v="16"/>
    <x v="4"/>
    <x v="2"/>
    <n v="488"/>
    <n v="976"/>
  </r>
  <r>
    <n v="596"/>
    <x v="595"/>
    <s v="CUST596"/>
    <x v="1"/>
    <x v="1"/>
    <x v="15"/>
    <x v="4"/>
    <x v="0"/>
    <n v="232"/>
    <n v="696"/>
  </r>
  <r>
    <n v="597"/>
    <x v="596"/>
    <s v="CUST597"/>
    <x v="2"/>
    <x v="0"/>
    <x v="39"/>
    <x v="1"/>
    <x v="0"/>
    <n v="186"/>
    <n v="558"/>
  </r>
  <r>
    <n v="598"/>
    <x v="597"/>
    <s v="CUST598"/>
    <x v="0"/>
    <x v="1"/>
    <x v="29"/>
    <x v="3"/>
    <x v="1"/>
    <n v="50"/>
    <n v="200"/>
  </r>
  <r>
    <n v="599"/>
    <x v="598"/>
    <s v="CUST599"/>
    <x v="0"/>
    <x v="1"/>
    <x v="17"/>
    <x v="3"/>
    <x v="0"/>
    <n v="32"/>
    <n v="96"/>
  </r>
  <r>
    <n v="600"/>
    <x v="599"/>
    <s v="CUST600"/>
    <x v="0"/>
    <x v="1"/>
    <x v="23"/>
    <x v="4"/>
    <x v="0"/>
    <n v="361"/>
    <n v="1083"/>
  </r>
  <r>
    <n v="601"/>
    <x v="600"/>
    <s v="CUST601"/>
    <x v="1"/>
    <x v="0"/>
    <x v="36"/>
    <x v="3"/>
    <x v="1"/>
    <n v="420"/>
    <n v="1680"/>
  </r>
  <r>
    <n v="602"/>
    <x v="601"/>
    <s v="CUST602"/>
    <x v="2"/>
    <x v="1"/>
    <x v="14"/>
    <x v="4"/>
    <x v="0"/>
    <n v="382"/>
    <n v="1146"/>
  </r>
  <r>
    <n v="603"/>
    <x v="602"/>
    <s v="CUST603"/>
    <x v="3"/>
    <x v="1"/>
    <x v="11"/>
    <x v="0"/>
    <x v="4"/>
    <n v="103"/>
    <n v="515"/>
  </r>
  <r>
    <n v="604"/>
    <x v="603"/>
    <s v="CUST604"/>
    <x v="3"/>
    <x v="1"/>
    <x v="34"/>
    <x v="0"/>
    <x v="4"/>
    <n v="158"/>
    <n v="790"/>
  </r>
  <r>
    <n v="605"/>
    <x v="604"/>
    <s v="CUST605"/>
    <x v="2"/>
    <x v="0"/>
    <x v="28"/>
    <x v="0"/>
    <x v="1"/>
    <n v="209"/>
    <n v="836"/>
  </r>
  <r>
    <n v="606"/>
    <x v="605"/>
    <s v="CUST606"/>
    <x v="1"/>
    <x v="1"/>
    <x v="27"/>
    <x v="3"/>
    <x v="3"/>
    <n v="384"/>
    <n v="384"/>
  </r>
  <r>
    <n v="607"/>
    <x v="606"/>
    <s v="CUST607"/>
    <x v="3"/>
    <x v="0"/>
    <x v="38"/>
    <x v="2"/>
    <x v="2"/>
    <n v="430"/>
    <n v="860"/>
  </r>
  <r>
    <n v="608"/>
    <x v="607"/>
    <s v="CUST608"/>
    <x v="2"/>
    <x v="1"/>
    <x v="29"/>
    <x v="0"/>
    <x v="1"/>
    <n v="283"/>
    <n v="1132"/>
  </r>
  <r>
    <n v="609"/>
    <x v="608"/>
    <s v="CUST609"/>
    <x v="3"/>
    <x v="1"/>
    <x v="3"/>
    <x v="1"/>
    <x v="1"/>
    <n v="188"/>
    <n v="752"/>
  </r>
  <r>
    <n v="610"/>
    <x v="609"/>
    <s v="CUST610"/>
    <x v="0"/>
    <x v="1"/>
    <x v="30"/>
    <x v="4"/>
    <x v="1"/>
    <n v="362"/>
    <n v="1448"/>
  </r>
  <r>
    <n v="611"/>
    <x v="610"/>
    <s v="CUST611"/>
    <x v="3"/>
    <x v="1"/>
    <x v="1"/>
    <x v="1"/>
    <x v="1"/>
    <n v="105"/>
    <n v="420"/>
  </r>
  <r>
    <n v="612"/>
    <x v="611"/>
    <s v="CUST612"/>
    <x v="1"/>
    <x v="1"/>
    <x v="25"/>
    <x v="4"/>
    <x v="4"/>
    <n v="225"/>
    <n v="1125"/>
  </r>
  <r>
    <n v="613"/>
    <x v="612"/>
    <s v="CUST613"/>
    <x v="2"/>
    <x v="1"/>
    <x v="15"/>
    <x v="1"/>
    <x v="1"/>
    <n v="410"/>
    <n v="1640"/>
  </r>
  <r>
    <n v="614"/>
    <x v="613"/>
    <s v="CUST614"/>
    <x v="1"/>
    <x v="0"/>
    <x v="6"/>
    <x v="4"/>
    <x v="1"/>
    <n v="490"/>
    <n v="1960"/>
  </r>
  <r>
    <n v="615"/>
    <x v="614"/>
    <s v="CUST615"/>
    <x v="2"/>
    <x v="0"/>
    <x v="10"/>
    <x v="1"/>
    <x v="0"/>
    <n v="103"/>
    <n v="309"/>
  </r>
  <r>
    <n v="616"/>
    <x v="615"/>
    <s v="CUST616"/>
    <x v="0"/>
    <x v="1"/>
    <x v="21"/>
    <x v="0"/>
    <x v="1"/>
    <n v="70"/>
    <n v="280"/>
  </r>
  <r>
    <n v="617"/>
    <x v="616"/>
    <s v="CUST617"/>
    <x v="2"/>
    <x v="0"/>
    <x v="41"/>
    <x v="4"/>
    <x v="2"/>
    <n v="496"/>
    <n v="992"/>
  </r>
  <r>
    <n v="618"/>
    <x v="617"/>
    <s v="CUST618"/>
    <x v="3"/>
    <x v="1"/>
    <x v="20"/>
    <x v="2"/>
    <x v="0"/>
    <n v="463"/>
    <n v="1389"/>
  </r>
  <r>
    <n v="619"/>
    <x v="618"/>
    <s v="CUST619"/>
    <x v="3"/>
    <x v="0"/>
    <x v="5"/>
    <x v="2"/>
    <x v="3"/>
    <n v="425"/>
    <n v="425"/>
  </r>
  <r>
    <n v="620"/>
    <x v="619"/>
    <s v="CUST620"/>
    <x v="0"/>
    <x v="1"/>
    <x v="14"/>
    <x v="1"/>
    <x v="4"/>
    <n v="250"/>
    <n v="1250"/>
  </r>
  <r>
    <n v="621"/>
    <x v="620"/>
    <s v="CUST621"/>
    <x v="2"/>
    <x v="1"/>
    <x v="18"/>
    <x v="0"/>
    <x v="0"/>
    <n v="215"/>
    <n v="645"/>
  </r>
  <r>
    <n v="622"/>
    <x v="621"/>
    <s v="CUST622"/>
    <x v="0"/>
    <x v="1"/>
    <x v="10"/>
    <x v="1"/>
    <x v="3"/>
    <n v="423"/>
    <n v="423"/>
  </r>
  <r>
    <n v="623"/>
    <x v="622"/>
    <s v="CUST623"/>
    <x v="3"/>
    <x v="0"/>
    <x v="29"/>
    <x v="0"/>
    <x v="2"/>
    <n v="114"/>
    <n v="228"/>
  </r>
  <r>
    <n v="624"/>
    <x v="623"/>
    <s v="CUST624"/>
    <x v="1"/>
    <x v="0"/>
    <x v="19"/>
    <x v="0"/>
    <x v="3"/>
    <n v="148"/>
    <n v="148"/>
  </r>
  <r>
    <n v="625"/>
    <x v="624"/>
    <s v="CUST625"/>
    <x v="0"/>
    <x v="1"/>
    <x v="11"/>
    <x v="2"/>
    <x v="0"/>
    <n v="255"/>
    <n v="765"/>
  </r>
  <r>
    <n v="626"/>
    <x v="625"/>
    <s v="CUST626"/>
    <x v="1"/>
    <x v="0"/>
    <x v="27"/>
    <x v="1"/>
    <x v="2"/>
    <n v="214"/>
    <n v="428"/>
  </r>
  <r>
    <n v="627"/>
    <x v="626"/>
    <s v="CUST627"/>
    <x v="1"/>
    <x v="1"/>
    <x v="10"/>
    <x v="4"/>
    <x v="0"/>
    <n v="446"/>
    <n v="1338"/>
  </r>
  <r>
    <n v="628"/>
    <x v="627"/>
    <s v="CUST628"/>
    <x v="2"/>
    <x v="0"/>
    <x v="8"/>
    <x v="4"/>
    <x v="3"/>
    <n v="388"/>
    <n v="388"/>
  </r>
  <r>
    <n v="629"/>
    <x v="628"/>
    <s v="CUST629"/>
    <x v="0"/>
    <x v="1"/>
    <x v="9"/>
    <x v="0"/>
    <x v="4"/>
    <n v="328"/>
    <n v="1640"/>
  </r>
  <r>
    <n v="630"/>
    <x v="629"/>
    <s v="CUST630"/>
    <x v="1"/>
    <x v="0"/>
    <x v="9"/>
    <x v="0"/>
    <x v="0"/>
    <n v="41"/>
    <n v="123"/>
  </r>
  <r>
    <n v="631"/>
    <x v="630"/>
    <s v="CUST631"/>
    <x v="1"/>
    <x v="1"/>
    <x v="13"/>
    <x v="0"/>
    <x v="1"/>
    <n v="340"/>
    <n v="1360"/>
  </r>
  <r>
    <n v="632"/>
    <x v="631"/>
    <s v="CUST632"/>
    <x v="2"/>
    <x v="1"/>
    <x v="34"/>
    <x v="2"/>
    <x v="2"/>
    <n v="99"/>
    <n v="198"/>
  </r>
  <r>
    <n v="633"/>
    <x v="632"/>
    <s v="CUST633"/>
    <x v="2"/>
    <x v="0"/>
    <x v="30"/>
    <x v="4"/>
    <x v="4"/>
    <n v="170"/>
    <n v="850"/>
  </r>
  <r>
    <n v="634"/>
    <x v="633"/>
    <s v="CUST634"/>
    <x v="3"/>
    <x v="1"/>
    <x v="29"/>
    <x v="4"/>
    <x v="0"/>
    <n v="348"/>
    <n v="1044"/>
  </r>
  <r>
    <n v="635"/>
    <x v="634"/>
    <s v="CUST635"/>
    <x v="1"/>
    <x v="0"/>
    <x v="7"/>
    <x v="4"/>
    <x v="4"/>
    <n v="224"/>
    <n v="1120"/>
  </r>
  <r>
    <n v="636"/>
    <x v="635"/>
    <s v="CUST636"/>
    <x v="3"/>
    <x v="0"/>
    <x v="0"/>
    <x v="2"/>
    <x v="3"/>
    <n v="28"/>
    <n v="28"/>
  </r>
  <r>
    <n v="637"/>
    <x v="636"/>
    <s v="CUST637"/>
    <x v="1"/>
    <x v="0"/>
    <x v="7"/>
    <x v="0"/>
    <x v="1"/>
    <n v="317"/>
    <n v="1268"/>
  </r>
  <r>
    <n v="638"/>
    <x v="637"/>
    <s v="CUST638"/>
    <x v="3"/>
    <x v="1"/>
    <x v="26"/>
    <x v="0"/>
    <x v="1"/>
    <n v="238"/>
    <n v="952"/>
  </r>
  <r>
    <n v="639"/>
    <x v="638"/>
    <s v="CUST639"/>
    <x v="2"/>
    <x v="0"/>
    <x v="21"/>
    <x v="0"/>
    <x v="2"/>
    <n v="50"/>
    <n v="100"/>
  </r>
  <r>
    <n v="640"/>
    <x v="639"/>
    <s v="CUST640"/>
    <x v="0"/>
    <x v="0"/>
    <x v="2"/>
    <x v="2"/>
    <x v="4"/>
    <n v="140"/>
    <n v="700"/>
  </r>
  <r>
    <n v="641"/>
    <x v="640"/>
    <s v="CUST641"/>
    <x v="2"/>
    <x v="1"/>
    <x v="39"/>
    <x v="1"/>
    <x v="0"/>
    <n v="64"/>
    <n v="192"/>
  </r>
  <r>
    <n v="642"/>
    <x v="641"/>
    <s v="CUST642"/>
    <x v="3"/>
    <x v="0"/>
    <x v="3"/>
    <x v="1"/>
    <x v="2"/>
    <n v="397"/>
    <n v="794"/>
  </r>
  <r>
    <n v="643"/>
    <x v="642"/>
    <s v="CUST643"/>
    <x v="3"/>
    <x v="0"/>
    <x v="13"/>
    <x v="3"/>
    <x v="2"/>
    <n v="476"/>
    <n v="952"/>
  </r>
  <r>
    <n v="644"/>
    <x v="643"/>
    <s v="CUST644"/>
    <x v="0"/>
    <x v="1"/>
    <x v="29"/>
    <x v="1"/>
    <x v="3"/>
    <n v="108"/>
    <n v="108"/>
  </r>
  <r>
    <n v="645"/>
    <x v="644"/>
    <s v="CUST645"/>
    <x v="1"/>
    <x v="1"/>
    <x v="29"/>
    <x v="1"/>
    <x v="1"/>
    <n v="121"/>
    <n v="484"/>
  </r>
  <r>
    <n v="646"/>
    <x v="645"/>
    <s v="CUST646"/>
    <x v="3"/>
    <x v="1"/>
    <x v="15"/>
    <x v="0"/>
    <x v="4"/>
    <n v="379"/>
    <n v="1895"/>
  </r>
  <r>
    <n v="647"/>
    <x v="646"/>
    <s v="CUST647"/>
    <x v="3"/>
    <x v="0"/>
    <x v="38"/>
    <x v="3"/>
    <x v="0"/>
    <n v="295"/>
    <n v="885"/>
  </r>
  <r>
    <n v="648"/>
    <x v="647"/>
    <s v="CUST648"/>
    <x v="3"/>
    <x v="0"/>
    <x v="0"/>
    <x v="0"/>
    <x v="2"/>
    <n v="160"/>
    <n v="320"/>
  </r>
  <r>
    <n v="649"/>
    <x v="648"/>
    <s v="CUST649"/>
    <x v="0"/>
    <x v="0"/>
    <x v="18"/>
    <x v="3"/>
    <x v="3"/>
    <n v="25"/>
    <n v="25"/>
  </r>
  <r>
    <n v="650"/>
    <x v="649"/>
    <s v="CUST650"/>
    <x v="2"/>
    <x v="0"/>
    <x v="10"/>
    <x v="4"/>
    <x v="4"/>
    <n v="317"/>
    <n v="1585"/>
  </r>
  <r>
    <n v="651"/>
    <x v="650"/>
    <s v="CUST651"/>
    <x v="3"/>
    <x v="0"/>
    <x v="35"/>
    <x v="0"/>
    <x v="3"/>
    <n v="244"/>
    <n v="244"/>
  </r>
  <r>
    <n v="652"/>
    <x v="651"/>
    <s v="CUST652"/>
    <x v="0"/>
    <x v="0"/>
    <x v="21"/>
    <x v="0"/>
    <x v="3"/>
    <n v="435"/>
    <n v="435"/>
  </r>
  <r>
    <n v="653"/>
    <x v="652"/>
    <s v="CUST653"/>
    <x v="3"/>
    <x v="1"/>
    <x v="19"/>
    <x v="3"/>
    <x v="2"/>
    <n v="204"/>
    <n v="408"/>
  </r>
  <r>
    <n v="654"/>
    <x v="653"/>
    <s v="CUST654"/>
    <x v="1"/>
    <x v="1"/>
    <x v="11"/>
    <x v="1"/>
    <x v="0"/>
    <n v="434"/>
    <n v="1302"/>
  </r>
  <r>
    <n v="655"/>
    <x v="654"/>
    <s v="CUST655"/>
    <x v="0"/>
    <x v="0"/>
    <x v="37"/>
    <x v="1"/>
    <x v="3"/>
    <n v="127"/>
    <n v="127"/>
  </r>
  <r>
    <n v="656"/>
    <x v="655"/>
    <s v="CUST656"/>
    <x v="3"/>
    <x v="0"/>
    <x v="3"/>
    <x v="2"/>
    <x v="3"/>
    <n v="371"/>
    <n v="371"/>
  </r>
  <r>
    <n v="657"/>
    <x v="656"/>
    <s v="CUST657"/>
    <x v="0"/>
    <x v="1"/>
    <x v="6"/>
    <x v="3"/>
    <x v="3"/>
    <n v="360"/>
    <n v="360"/>
  </r>
  <r>
    <n v="658"/>
    <x v="657"/>
    <s v="CUST658"/>
    <x v="3"/>
    <x v="1"/>
    <x v="14"/>
    <x v="1"/>
    <x v="3"/>
    <n v="392"/>
    <n v="392"/>
  </r>
  <r>
    <n v="659"/>
    <x v="658"/>
    <s v="CUST659"/>
    <x v="2"/>
    <x v="1"/>
    <x v="16"/>
    <x v="4"/>
    <x v="4"/>
    <n v="366"/>
    <n v="1830"/>
  </r>
  <r>
    <n v="660"/>
    <x v="659"/>
    <s v="CUST660"/>
    <x v="3"/>
    <x v="1"/>
    <x v="41"/>
    <x v="2"/>
    <x v="4"/>
    <n v="52"/>
    <n v="260"/>
  </r>
  <r>
    <n v="661"/>
    <x v="660"/>
    <s v="CUST661"/>
    <x v="0"/>
    <x v="0"/>
    <x v="40"/>
    <x v="2"/>
    <x v="1"/>
    <n v="80"/>
    <n v="320"/>
  </r>
  <r>
    <n v="662"/>
    <x v="661"/>
    <s v="CUST662"/>
    <x v="1"/>
    <x v="0"/>
    <x v="24"/>
    <x v="1"/>
    <x v="0"/>
    <n v="127"/>
    <n v="381"/>
  </r>
  <r>
    <n v="663"/>
    <x v="662"/>
    <s v="CUST663"/>
    <x v="1"/>
    <x v="0"/>
    <x v="22"/>
    <x v="4"/>
    <x v="3"/>
    <n v="312"/>
    <n v="312"/>
  </r>
  <r>
    <n v="664"/>
    <x v="663"/>
    <s v="CUST664"/>
    <x v="1"/>
    <x v="0"/>
    <x v="6"/>
    <x v="1"/>
    <x v="1"/>
    <n v="304"/>
    <n v="1216"/>
  </r>
  <r>
    <n v="665"/>
    <x v="664"/>
    <s v="CUST665"/>
    <x v="3"/>
    <x v="1"/>
    <x v="29"/>
    <x v="0"/>
    <x v="4"/>
    <n v="417"/>
    <n v="2085"/>
  </r>
  <r>
    <n v="666"/>
    <x v="665"/>
    <s v="CUST666"/>
    <x v="2"/>
    <x v="1"/>
    <x v="13"/>
    <x v="3"/>
    <x v="3"/>
    <n v="119"/>
    <n v="119"/>
  </r>
  <r>
    <n v="667"/>
    <x v="666"/>
    <s v="CUST667"/>
    <x v="3"/>
    <x v="1"/>
    <x v="27"/>
    <x v="0"/>
    <x v="3"/>
    <n v="352"/>
    <n v="352"/>
  </r>
  <r>
    <n v="668"/>
    <x v="667"/>
    <s v="CUST668"/>
    <x v="1"/>
    <x v="0"/>
    <x v="25"/>
    <x v="2"/>
    <x v="1"/>
    <n v="228"/>
    <n v="912"/>
  </r>
  <r>
    <n v="669"/>
    <x v="668"/>
    <s v="CUST669"/>
    <x v="0"/>
    <x v="0"/>
    <x v="1"/>
    <x v="4"/>
    <x v="0"/>
    <n v="253"/>
    <n v="759"/>
  </r>
  <r>
    <n v="670"/>
    <x v="669"/>
    <s v="CUST670"/>
    <x v="1"/>
    <x v="0"/>
    <x v="19"/>
    <x v="2"/>
    <x v="1"/>
    <n v="218"/>
    <n v="872"/>
  </r>
  <r>
    <n v="671"/>
    <x v="670"/>
    <s v="CUST671"/>
    <x v="0"/>
    <x v="1"/>
    <x v="41"/>
    <x v="1"/>
    <x v="2"/>
    <n v="459"/>
    <n v="918"/>
  </r>
  <r>
    <n v="672"/>
    <x v="671"/>
    <s v="CUST672"/>
    <x v="2"/>
    <x v="0"/>
    <x v="41"/>
    <x v="2"/>
    <x v="3"/>
    <n v="35"/>
    <n v="35"/>
  </r>
  <r>
    <n v="673"/>
    <x v="672"/>
    <s v="CUST673"/>
    <x v="0"/>
    <x v="1"/>
    <x v="21"/>
    <x v="2"/>
    <x v="0"/>
    <n v="276"/>
    <n v="828"/>
  </r>
  <r>
    <n v="674"/>
    <x v="673"/>
    <s v="CUST674"/>
    <x v="3"/>
    <x v="0"/>
    <x v="4"/>
    <x v="0"/>
    <x v="3"/>
    <n v="363"/>
    <n v="363"/>
  </r>
  <r>
    <n v="675"/>
    <x v="674"/>
    <s v="CUST675"/>
    <x v="3"/>
    <x v="0"/>
    <x v="19"/>
    <x v="4"/>
    <x v="1"/>
    <n v="257"/>
    <n v="1028"/>
  </r>
  <r>
    <n v="676"/>
    <x v="675"/>
    <s v="CUST676"/>
    <x v="3"/>
    <x v="1"/>
    <x v="21"/>
    <x v="0"/>
    <x v="0"/>
    <n v="437"/>
    <n v="1311"/>
  </r>
  <r>
    <n v="677"/>
    <x v="676"/>
    <s v="CUST677"/>
    <x v="0"/>
    <x v="0"/>
    <x v="6"/>
    <x v="0"/>
    <x v="3"/>
    <n v="33"/>
    <n v="33"/>
  </r>
  <r>
    <n v="678"/>
    <x v="677"/>
    <s v="CUST678"/>
    <x v="3"/>
    <x v="0"/>
    <x v="11"/>
    <x v="1"/>
    <x v="3"/>
    <n v="246"/>
    <n v="246"/>
  </r>
  <r>
    <n v="679"/>
    <x v="678"/>
    <s v="CUST679"/>
    <x v="3"/>
    <x v="1"/>
    <x v="38"/>
    <x v="4"/>
    <x v="3"/>
    <n v="487"/>
    <n v="487"/>
  </r>
  <r>
    <n v="680"/>
    <x v="679"/>
    <s v="CUST680"/>
    <x v="3"/>
    <x v="1"/>
    <x v="30"/>
    <x v="1"/>
    <x v="4"/>
    <n v="380"/>
    <n v="1900"/>
  </r>
  <r>
    <n v="681"/>
    <x v="680"/>
    <s v="CUST681"/>
    <x v="2"/>
    <x v="0"/>
    <x v="34"/>
    <x v="1"/>
    <x v="1"/>
    <n v="128"/>
    <n v="512"/>
  </r>
  <r>
    <n v="682"/>
    <x v="681"/>
    <s v="CUST682"/>
    <x v="0"/>
    <x v="1"/>
    <x v="29"/>
    <x v="0"/>
    <x v="0"/>
    <n v="133"/>
    <n v="399"/>
  </r>
  <r>
    <n v="683"/>
    <x v="682"/>
    <s v="CUST683"/>
    <x v="0"/>
    <x v="0"/>
    <x v="23"/>
    <x v="4"/>
    <x v="0"/>
    <n v="314"/>
    <n v="942"/>
  </r>
  <r>
    <n v="684"/>
    <x v="683"/>
    <s v="CUST684"/>
    <x v="1"/>
    <x v="1"/>
    <x v="9"/>
    <x v="4"/>
    <x v="3"/>
    <n v="38"/>
    <n v="38"/>
  </r>
  <r>
    <n v="685"/>
    <x v="684"/>
    <s v="CUST685"/>
    <x v="0"/>
    <x v="0"/>
    <x v="36"/>
    <x v="2"/>
    <x v="0"/>
    <n v="28"/>
    <n v="84"/>
  </r>
  <r>
    <n v="686"/>
    <x v="685"/>
    <s v="CUST686"/>
    <x v="2"/>
    <x v="0"/>
    <x v="19"/>
    <x v="0"/>
    <x v="3"/>
    <n v="487"/>
    <n v="487"/>
  </r>
  <r>
    <n v="687"/>
    <x v="686"/>
    <s v="CUST687"/>
    <x v="0"/>
    <x v="0"/>
    <x v="40"/>
    <x v="3"/>
    <x v="3"/>
    <n v="395"/>
    <n v="395"/>
  </r>
  <r>
    <n v="688"/>
    <x v="687"/>
    <s v="CUST688"/>
    <x v="2"/>
    <x v="1"/>
    <x v="5"/>
    <x v="3"/>
    <x v="2"/>
    <n v="216"/>
    <n v="432"/>
  </r>
  <r>
    <n v="689"/>
    <x v="688"/>
    <s v="CUST689"/>
    <x v="2"/>
    <x v="1"/>
    <x v="35"/>
    <x v="4"/>
    <x v="1"/>
    <n v="471"/>
    <n v="1884"/>
  </r>
  <r>
    <n v="690"/>
    <x v="689"/>
    <s v="CUST690"/>
    <x v="0"/>
    <x v="0"/>
    <x v="5"/>
    <x v="2"/>
    <x v="0"/>
    <n v="396"/>
    <n v="1188"/>
  </r>
  <r>
    <n v="691"/>
    <x v="690"/>
    <s v="CUST691"/>
    <x v="1"/>
    <x v="1"/>
    <x v="36"/>
    <x v="3"/>
    <x v="1"/>
    <n v="282"/>
    <n v="1128"/>
  </r>
  <r>
    <n v="692"/>
    <x v="691"/>
    <s v="CUST692"/>
    <x v="3"/>
    <x v="0"/>
    <x v="4"/>
    <x v="0"/>
    <x v="0"/>
    <n v="113"/>
    <n v="339"/>
  </r>
  <r>
    <n v="693"/>
    <x v="692"/>
    <s v="CUST693"/>
    <x v="3"/>
    <x v="1"/>
    <x v="30"/>
    <x v="3"/>
    <x v="4"/>
    <n v="459"/>
    <n v="2295"/>
  </r>
  <r>
    <n v="694"/>
    <x v="693"/>
    <s v="CUST694"/>
    <x v="0"/>
    <x v="0"/>
    <x v="2"/>
    <x v="3"/>
    <x v="4"/>
    <n v="223"/>
    <n v="1115"/>
  </r>
  <r>
    <n v="695"/>
    <x v="694"/>
    <s v="CUST695"/>
    <x v="0"/>
    <x v="0"/>
    <x v="21"/>
    <x v="1"/>
    <x v="3"/>
    <n v="271"/>
    <n v="271"/>
  </r>
  <r>
    <n v="696"/>
    <x v="695"/>
    <s v="CUST696"/>
    <x v="2"/>
    <x v="1"/>
    <x v="18"/>
    <x v="2"/>
    <x v="2"/>
    <n v="104"/>
    <n v="208"/>
  </r>
  <r>
    <n v="697"/>
    <x v="696"/>
    <s v="CUST697"/>
    <x v="0"/>
    <x v="0"/>
    <x v="21"/>
    <x v="2"/>
    <x v="4"/>
    <n v="470"/>
    <n v="2350"/>
  </r>
  <r>
    <n v="698"/>
    <x v="697"/>
    <s v="CUST698"/>
    <x v="2"/>
    <x v="0"/>
    <x v="9"/>
    <x v="1"/>
    <x v="4"/>
    <n v="332"/>
    <n v="1660"/>
  </r>
  <r>
    <n v="699"/>
    <x v="698"/>
    <s v="CUST699"/>
    <x v="1"/>
    <x v="1"/>
    <x v="39"/>
    <x v="4"/>
    <x v="1"/>
    <n v="125"/>
    <n v="500"/>
  </r>
  <r>
    <n v="700"/>
    <x v="699"/>
    <s v="CUST700"/>
    <x v="0"/>
    <x v="0"/>
    <x v="11"/>
    <x v="4"/>
    <x v="4"/>
    <n v="414"/>
    <n v="2070"/>
  </r>
  <r>
    <n v="701"/>
    <x v="700"/>
    <s v="CUST701"/>
    <x v="3"/>
    <x v="0"/>
    <x v="24"/>
    <x v="1"/>
    <x v="0"/>
    <n v="429"/>
    <n v="1287"/>
  </r>
  <r>
    <n v="702"/>
    <x v="701"/>
    <s v="CUST702"/>
    <x v="3"/>
    <x v="0"/>
    <x v="3"/>
    <x v="1"/>
    <x v="2"/>
    <n v="256"/>
    <n v="512"/>
  </r>
  <r>
    <n v="703"/>
    <x v="702"/>
    <s v="CUST703"/>
    <x v="0"/>
    <x v="0"/>
    <x v="26"/>
    <x v="4"/>
    <x v="1"/>
    <n v="259"/>
    <n v="1036"/>
  </r>
  <r>
    <n v="704"/>
    <x v="703"/>
    <s v="CUST704"/>
    <x v="2"/>
    <x v="1"/>
    <x v="13"/>
    <x v="1"/>
    <x v="3"/>
    <n v="421"/>
    <n v="421"/>
  </r>
  <r>
    <n v="705"/>
    <x v="704"/>
    <s v="CUST705"/>
    <x v="3"/>
    <x v="0"/>
    <x v="36"/>
    <x v="0"/>
    <x v="1"/>
    <n v="122"/>
    <n v="488"/>
  </r>
  <r>
    <n v="706"/>
    <x v="705"/>
    <s v="CUST706"/>
    <x v="2"/>
    <x v="0"/>
    <x v="41"/>
    <x v="3"/>
    <x v="4"/>
    <n v="441"/>
    <n v="2205"/>
  </r>
  <r>
    <n v="707"/>
    <x v="706"/>
    <s v="CUST707"/>
    <x v="0"/>
    <x v="1"/>
    <x v="13"/>
    <x v="4"/>
    <x v="4"/>
    <n v="242"/>
    <n v="1210"/>
  </r>
  <r>
    <n v="708"/>
    <x v="707"/>
    <s v="CUST708"/>
    <x v="0"/>
    <x v="1"/>
    <x v="38"/>
    <x v="1"/>
    <x v="0"/>
    <n v="76"/>
    <n v="228"/>
  </r>
  <r>
    <n v="709"/>
    <x v="708"/>
    <s v="CUST709"/>
    <x v="3"/>
    <x v="0"/>
    <x v="21"/>
    <x v="1"/>
    <x v="1"/>
    <n v="182"/>
    <n v="728"/>
  </r>
  <r>
    <n v="710"/>
    <x v="709"/>
    <s v="CUST710"/>
    <x v="0"/>
    <x v="1"/>
    <x v="18"/>
    <x v="4"/>
    <x v="1"/>
    <n v="213"/>
    <n v="852"/>
  </r>
  <r>
    <n v="711"/>
    <x v="710"/>
    <s v="CUST711"/>
    <x v="1"/>
    <x v="0"/>
    <x v="6"/>
    <x v="2"/>
    <x v="4"/>
    <n v="128"/>
    <n v="640"/>
  </r>
  <r>
    <n v="712"/>
    <x v="711"/>
    <s v="CUST712"/>
    <x v="1"/>
    <x v="1"/>
    <x v="15"/>
    <x v="0"/>
    <x v="1"/>
    <n v="255"/>
    <n v="1020"/>
  </r>
  <r>
    <n v="713"/>
    <x v="712"/>
    <s v="CUST713"/>
    <x v="3"/>
    <x v="0"/>
    <x v="27"/>
    <x v="1"/>
    <x v="2"/>
    <n v="175"/>
    <n v="350"/>
  </r>
  <r>
    <n v="714"/>
    <x v="713"/>
    <s v="CUST714"/>
    <x v="1"/>
    <x v="0"/>
    <x v="11"/>
    <x v="4"/>
    <x v="3"/>
    <n v="291"/>
    <n v="291"/>
  </r>
  <r>
    <n v="715"/>
    <x v="714"/>
    <s v="CUST715"/>
    <x v="2"/>
    <x v="1"/>
    <x v="12"/>
    <x v="3"/>
    <x v="4"/>
    <n v="386"/>
    <n v="1930"/>
  </r>
  <r>
    <n v="716"/>
    <x v="715"/>
    <s v="CUST716"/>
    <x v="3"/>
    <x v="1"/>
    <x v="2"/>
    <x v="0"/>
    <x v="0"/>
    <n v="165"/>
    <n v="495"/>
  </r>
  <r>
    <n v="717"/>
    <x v="716"/>
    <s v="CUST717"/>
    <x v="3"/>
    <x v="0"/>
    <x v="1"/>
    <x v="1"/>
    <x v="0"/>
    <n v="353"/>
    <n v="1059"/>
  </r>
  <r>
    <n v="718"/>
    <x v="717"/>
    <s v="CUST718"/>
    <x v="2"/>
    <x v="0"/>
    <x v="25"/>
    <x v="4"/>
    <x v="3"/>
    <n v="225"/>
    <n v="225"/>
  </r>
  <r>
    <n v="719"/>
    <x v="718"/>
    <s v="CUST719"/>
    <x v="1"/>
    <x v="0"/>
    <x v="24"/>
    <x v="0"/>
    <x v="4"/>
    <n v="25"/>
    <n v="125"/>
  </r>
  <r>
    <n v="720"/>
    <x v="719"/>
    <s v="CUST720"/>
    <x v="1"/>
    <x v="1"/>
    <x v="23"/>
    <x v="4"/>
    <x v="0"/>
    <n v="305"/>
    <n v="915"/>
  </r>
  <r>
    <n v="721"/>
    <x v="720"/>
    <s v="CUST721"/>
    <x v="1"/>
    <x v="0"/>
    <x v="23"/>
    <x v="0"/>
    <x v="2"/>
    <n v="218"/>
    <n v="436"/>
  </r>
  <r>
    <n v="722"/>
    <x v="721"/>
    <s v="CUST722"/>
    <x v="3"/>
    <x v="0"/>
    <x v="25"/>
    <x v="4"/>
    <x v="2"/>
    <n v="117"/>
    <n v="234"/>
  </r>
  <r>
    <n v="723"/>
    <x v="722"/>
    <s v="CUST723"/>
    <x v="3"/>
    <x v="0"/>
    <x v="1"/>
    <x v="3"/>
    <x v="0"/>
    <n v="343"/>
    <n v="1029"/>
  </r>
  <r>
    <n v="724"/>
    <x v="723"/>
    <s v="CUST724"/>
    <x v="1"/>
    <x v="1"/>
    <x v="16"/>
    <x v="3"/>
    <x v="3"/>
    <n v="99"/>
    <n v="99"/>
  </r>
  <r>
    <n v="725"/>
    <x v="724"/>
    <s v="CUST725"/>
    <x v="0"/>
    <x v="1"/>
    <x v="0"/>
    <x v="0"/>
    <x v="1"/>
    <n v="454"/>
    <n v="1816"/>
  </r>
  <r>
    <n v="726"/>
    <x v="725"/>
    <s v="CUST726"/>
    <x v="1"/>
    <x v="0"/>
    <x v="31"/>
    <x v="0"/>
    <x v="2"/>
    <n v="360"/>
    <n v="720"/>
  </r>
  <r>
    <n v="727"/>
    <x v="726"/>
    <s v="CUST727"/>
    <x v="2"/>
    <x v="1"/>
    <x v="27"/>
    <x v="2"/>
    <x v="3"/>
    <n v="496"/>
    <n v="496"/>
  </r>
  <r>
    <n v="728"/>
    <x v="727"/>
    <s v="CUST728"/>
    <x v="3"/>
    <x v="0"/>
    <x v="37"/>
    <x v="0"/>
    <x v="4"/>
    <n v="28"/>
    <n v="140"/>
  </r>
  <r>
    <n v="729"/>
    <x v="728"/>
    <s v="CUST729"/>
    <x v="2"/>
    <x v="0"/>
    <x v="5"/>
    <x v="3"/>
    <x v="4"/>
    <n v="235"/>
    <n v="1175"/>
  </r>
  <r>
    <n v="730"/>
    <x v="729"/>
    <s v="CUST730"/>
    <x v="2"/>
    <x v="1"/>
    <x v="11"/>
    <x v="3"/>
    <x v="4"/>
    <n v="431"/>
    <n v="2155"/>
  </r>
  <r>
    <n v="731"/>
    <x v="730"/>
    <s v="CUST731"/>
    <x v="3"/>
    <x v="1"/>
    <x v="29"/>
    <x v="0"/>
    <x v="3"/>
    <n v="317"/>
    <n v="317"/>
  </r>
  <r>
    <n v="732"/>
    <x v="731"/>
    <s v="CUST732"/>
    <x v="0"/>
    <x v="1"/>
    <x v="24"/>
    <x v="2"/>
    <x v="2"/>
    <n v="477"/>
    <n v="954"/>
  </r>
  <r>
    <n v="733"/>
    <x v="732"/>
    <s v="CUST733"/>
    <x v="1"/>
    <x v="1"/>
    <x v="35"/>
    <x v="0"/>
    <x v="1"/>
    <n v="151"/>
    <n v="604"/>
  </r>
  <r>
    <n v="734"/>
    <x v="733"/>
    <s v="CUST734"/>
    <x v="2"/>
    <x v="1"/>
    <x v="42"/>
    <x v="2"/>
    <x v="0"/>
    <n v="94"/>
    <n v="282"/>
  </r>
  <r>
    <n v="735"/>
    <x v="734"/>
    <s v="CUST735"/>
    <x v="3"/>
    <x v="0"/>
    <x v="3"/>
    <x v="4"/>
    <x v="4"/>
    <n v="64"/>
    <n v="320"/>
  </r>
  <r>
    <n v="736"/>
    <x v="735"/>
    <s v="CUST736"/>
    <x v="2"/>
    <x v="1"/>
    <x v="29"/>
    <x v="2"/>
    <x v="0"/>
    <n v="61"/>
    <n v="183"/>
  </r>
  <r>
    <n v="737"/>
    <x v="736"/>
    <s v="CUST737"/>
    <x v="1"/>
    <x v="0"/>
    <x v="2"/>
    <x v="4"/>
    <x v="4"/>
    <n v="456"/>
    <n v="2280"/>
  </r>
  <r>
    <n v="738"/>
    <x v="737"/>
    <s v="CUST738"/>
    <x v="0"/>
    <x v="0"/>
    <x v="28"/>
    <x v="2"/>
    <x v="0"/>
    <n v="328"/>
    <n v="984"/>
  </r>
  <r>
    <n v="739"/>
    <x v="738"/>
    <s v="CUST739"/>
    <x v="0"/>
    <x v="0"/>
    <x v="13"/>
    <x v="4"/>
    <x v="4"/>
    <n v="83"/>
    <n v="415"/>
  </r>
  <r>
    <n v="740"/>
    <x v="739"/>
    <s v="CUST740"/>
    <x v="0"/>
    <x v="1"/>
    <x v="3"/>
    <x v="4"/>
    <x v="1"/>
    <n v="490"/>
    <n v="1960"/>
  </r>
  <r>
    <n v="741"/>
    <x v="740"/>
    <s v="CUST741"/>
    <x v="3"/>
    <x v="0"/>
    <x v="17"/>
    <x v="3"/>
    <x v="0"/>
    <n v="55"/>
    <n v="165"/>
  </r>
  <r>
    <n v="742"/>
    <x v="741"/>
    <s v="CUST742"/>
    <x v="3"/>
    <x v="0"/>
    <x v="25"/>
    <x v="1"/>
    <x v="2"/>
    <n v="326"/>
    <n v="652"/>
  </r>
  <r>
    <n v="743"/>
    <x v="742"/>
    <s v="CUST743"/>
    <x v="0"/>
    <x v="1"/>
    <x v="32"/>
    <x v="2"/>
    <x v="2"/>
    <n v="386"/>
    <n v="772"/>
  </r>
  <r>
    <n v="744"/>
    <x v="743"/>
    <s v="CUST744"/>
    <x v="1"/>
    <x v="0"/>
    <x v="36"/>
    <x v="3"/>
    <x v="2"/>
    <n v="388"/>
    <n v="776"/>
  </r>
  <r>
    <n v="745"/>
    <x v="744"/>
    <s v="CUST745"/>
    <x v="1"/>
    <x v="1"/>
    <x v="39"/>
    <x v="3"/>
    <x v="3"/>
    <n v="165"/>
    <n v="165"/>
  </r>
  <r>
    <n v="746"/>
    <x v="745"/>
    <s v="CUST746"/>
    <x v="3"/>
    <x v="1"/>
    <x v="17"/>
    <x v="1"/>
    <x v="4"/>
    <n v="115"/>
    <n v="575"/>
  </r>
  <r>
    <n v="747"/>
    <x v="746"/>
    <s v="CUST747"/>
    <x v="0"/>
    <x v="1"/>
    <x v="20"/>
    <x v="1"/>
    <x v="0"/>
    <n v="249"/>
    <n v="747"/>
  </r>
  <r>
    <n v="748"/>
    <x v="747"/>
    <s v="CUST748"/>
    <x v="1"/>
    <x v="0"/>
    <x v="25"/>
    <x v="3"/>
    <x v="0"/>
    <n v="170"/>
    <n v="510"/>
  </r>
  <r>
    <n v="749"/>
    <x v="748"/>
    <s v="CUST749"/>
    <x v="1"/>
    <x v="0"/>
    <x v="27"/>
    <x v="2"/>
    <x v="3"/>
    <n v="408"/>
    <n v="408"/>
  </r>
  <r>
    <n v="750"/>
    <x v="749"/>
    <s v="CUST750"/>
    <x v="1"/>
    <x v="0"/>
    <x v="4"/>
    <x v="4"/>
    <x v="1"/>
    <n v="441"/>
    <n v="1764"/>
  </r>
  <r>
    <n v="751"/>
    <x v="750"/>
    <s v="CUST751"/>
    <x v="3"/>
    <x v="0"/>
    <x v="6"/>
    <x v="3"/>
    <x v="1"/>
    <n v="213"/>
    <n v="852"/>
  </r>
  <r>
    <n v="752"/>
    <x v="751"/>
    <s v="CUST752"/>
    <x v="0"/>
    <x v="0"/>
    <x v="28"/>
    <x v="1"/>
    <x v="1"/>
    <n v="164"/>
    <n v="656"/>
  </r>
  <r>
    <n v="753"/>
    <x v="752"/>
    <s v="CUST753"/>
    <x v="2"/>
    <x v="1"/>
    <x v="5"/>
    <x v="0"/>
    <x v="2"/>
    <n v="297"/>
    <n v="594"/>
  </r>
  <r>
    <n v="754"/>
    <x v="753"/>
    <s v="CUST754"/>
    <x v="0"/>
    <x v="0"/>
    <x v="24"/>
    <x v="3"/>
    <x v="4"/>
    <n v="228"/>
    <n v="1140"/>
  </r>
  <r>
    <n v="755"/>
    <x v="754"/>
    <s v="CUST755"/>
    <x v="0"/>
    <x v="0"/>
    <x v="10"/>
    <x v="1"/>
    <x v="1"/>
    <n v="460"/>
    <n v="1840"/>
  </r>
  <r>
    <n v="756"/>
    <x v="755"/>
    <s v="CUST756"/>
    <x v="3"/>
    <x v="0"/>
    <x v="21"/>
    <x v="0"/>
    <x v="0"/>
    <n v="325"/>
    <n v="975"/>
  </r>
  <r>
    <n v="757"/>
    <x v="756"/>
    <s v="CUST757"/>
    <x v="1"/>
    <x v="0"/>
    <x v="22"/>
    <x v="0"/>
    <x v="4"/>
    <n v="466"/>
    <n v="2330"/>
  </r>
  <r>
    <n v="758"/>
    <x v="757"/>
    <s v="CUST758"/>
    <x v="1"/>
    <x v="1"/>
    <x v="31"/>
    <x v="3"/>
    <x v="0"/>
    <n v="173"/>
    <n v="519"/>
  </r>
  <r>
    <n v="759"/>
    <x v="758"/>
    <s v="CUST759"/>
    <x v="3"/>
    <x v="0"/>
    <x v="8"/>
    <x v="3"/>
    <x v="3"/>
    <n v="164"/>
    <n v="164"/>
  </r>
  <r>
    <n v="760"/>
    <x v="759"/>
    <s v="CUST760"/>
    <x v="3"/>
    <x v="0"/>
    <x v="32"/>
    <x v="4"/>
    <x v="0"/>
    <n v="485"/>
    <n v="1455"/>
  </r>
  <r>
    <n v="761"/>
    <x v="760"/>
    <s v="CUST761"/>
    <x v="3"/>
    <x v="1"/>
    <x v="28"/>
    <x v="1"/>
    <x v="4"/>
    <n v="321"/>
    <n v="1605"/>
  </r>
  <r>
    <n v="762"/>
    <x v="761"/>
    <s v="CUST762"/>
    <x v="3"/>
    <x v="1"/>
    <x v="3"/>
    <x v="3"/>
    <x v="1"/>
    <n v="450"/>
    <n v="1800"/>
  </r>
  <r>
    <n v="763"/>
    <x v="762"/>
    <s v="CUST763"/>
    <x v="3"/>
    <x v="1"/>
    <x v="17"/>
    <x v="0"/>
    <x v="4"/>
    <n v="103"/>
    <n v="515"/>
  </r>
  <r>
    <n v="764"/>
    <x v="763"/>
    <s v="CUST764"/>
    <x v="2"/>
    <x v="0"/>
    <x v="12"/>
    <x v="3"/>
    <x v="0"/>
    <n v="358"/>
    <n v="1074"/>
  </r>
  <r>
    <n v="765"/>
    <x v="764"/>
    <s v="CUST765"/>
    <x v="0"/>
    <x v="1"/>
    <x v="38"/>
    <x v="0"/>
    <x v="1"/>
    <n v="206"/>
    <n v="824"/>
  </r>
  <r>
    <n v="766"/>
    <x v="765"/>
    <s v="CUST766"/>
    <x v="0"/>
    <x v="1"/>
    <x v="26"/>
    <x v="1"/>
    <x v="0"/>
    <n v="327"/>
    <n v="981"/>
  </r>
  <r>
    <n v="767"/>
    <x v="766"/>
    <s v="CUST767"/>
    <x v="0"/>
    <x v="1"/>
    <x v="37"/>
    <x v="1"/>
    <x v="3"/>
    <n v="100"/>
    <n v="100"/>
  </r>
  <r>
    <n v="768"/>
    <x v="767"/>
    <s v="CUST768"/>
    <x v="1"/>
    <x v="1"/>
    <x v="31"/>
    <x v="0"/>
    <x v="0"/>
    <n v="418"/>
    <n v="1254"/>
  </r>
  <r>
    <n v="769"/>
    <x v="768"/>
    <s v="CUST769"/>
    <x v="2"/>
    <x v="0"/>
    <x v="20"/>
    <x v="3"/>
    <x v="2"/>
    <n v="162"/>
    <n v="324"/>
  </r>
  <r>
    <n v="770"/>
    <x v="769"/>
    <s v="CUST770"/>
    <x v="0"/>
    <x v="1"/>
    <x v="41"/>
    <x v="3"/>
    <x v="0"/>
    <n v="244"/>
    <n v="732"/>
  </r>
  <r>
    <n v="771"/>
    <x v="770"/>
    <s v="CUST771"/>
    <x v="1"/>
    <x v="1"/>
    <x v="2"/>
    <x v="0"/>
    <x v="2"/>
    <n v="478"/>
    <n v="956"/>
  </r>
  <r>
    <n v="772"/>
    <x v="771"/>
    <s v="CUST772"/>
    <x v="2"/>
    <x v="1"/>
    <x v="31"/>
    <x v="3"/>
    <x v="3"/>
    <n v="411"/>
    <n v="411"/>
  </r>
  <r>
    <n v="773"/>
    <x v="772"/>
    <s v="CUST773"/>
    <x v="2"/>
    <x v="0"/>
    <x v="25"/>
    <x v="3"/>
    <x v="0"/>
    <n v="344"/>
    <n v="1032"/>
  </r>
  <r>
    <n v="774"/>
    <x v="773"/>
    <s v="CUST774"/>
    <x v="1"/>
    <x v="0"/>
    <x v="14"/>
    <x v="1"/>
    <x v="1"/>
    <n v="166"/>
    <n v="664"/>
  </r>
  <r>
    <n v="775"/>
    <x v="774"/>
    <s v="CUST775"/>
    <x v="2"/>
    <x v="0"/>
    <x v="42"/>
    <x v="2"/>
    <x v="0"/>
    <n v="106"/>
    <n v="318"/>
  </r>
  <r>
    <n v="776"/>
    <x v="775"/>
    <s v="CUST776"/>
    <x v="1"/>
    <x v="1"/>
    <x v="22"/>
    <x v="2"/>
    <x v="2"/>
    <n v="144"/>
    <n v="288"/>
  </r>
  <r>
    <n v="777"/>
    <x v="776"/>
    <s v="CUST777"/>
    <x v="0"/>
    <x v="1"/>
    <x v="25"/>
    <x v="0"/>
    <x v="2"/>
    <n v="302"/>
    <n v="604"/>
  </r>
  <r>
    <n v="778"/>
    <x v="777"/>
    <s v="CUST778"/>
    <x v="1"/>
    <x v="1"/>
    <x v="4"/>
    <x v="0"/>
    <x v="0"/>
    <n v="262"/>
    <n v="786"/>
  </r>
  <r>
    <n v="779"/>
    <x v="778"/>
    <s v="CUST779"/>
    <x v="2"/>
    <x v="1"/>
    <x v="11"/>
    <x v="0"/>
    <x v="4"/>
    <n v="140"/>
    <n v="700"/>
  </r>
  <r>
    <n v="780"/>
    <x v="779"/>
    <s v="CUST780"/>
    <x v="0"/>
    <x v="0"/>
    <x v="4"/>
    <x v="3"/>
    <x v="0"/>
    <n v="372"/>
    <n v="1116"/>
  </r>
  <r>
    <n v="781"/>
    <x v="780"/>
    <s v="CUST781"/>
    <x v="0"/>
    <x v="1"/>
    <x v="13"/>
    <x v="3"/>
    <x v="1"/>
    <n v="468"/>
    <n v="1872"/>
  </r>
  <r>
    <n v="782"/>
    <x v="781"/>
    <s v="CUST782"/>
    <x v="3"/>
    <x v="1"/>
    <x v="41"/>
    <x v="2"/>
    <x v="2"/>
    <n v="283"/>
    <n v="566"/>
  </r>
  <r>
    <n v="783"/>
    <x v="782"/>
    <s v="CUST783"/>
    <x v="3"/>
    <x v="0"/>
    <x v="7"/>
    <x v="4"/>
    <x v="3"/>
    <n v="158"/>
    <n v="158"/>
  </r>
  <r>
    <n v="784"/>
    <x v="783"/>
    <s v="CUST784"/>
    <x v="2"/>
    <x v="1"/>
    <x v="37"/>
    <x v="2"/>
    <x v="2"/>
    <n v="440"/>
    <n v="880"/>
  </r>
  <r>
    <n v="785"/>
    <x v="784"/>
    <s v="CUST785"/>
    <x v="1"/>
    <x v="0"/>
    <x v="19"/>
    <x v="1"/>
    <x v="0"/>
    <n v="245"/>
    <n v="735"/>
  </r>
  <r>
    <n v="786"/>
    <x v="785"/>
    <s v="CUST786"/>
    <x v="1"/>
    <x v="1"/>
    <x v="35"/>
    <x v="1"/>
    <x v="2"/>
    <n v="84"/>
    <n v="168"/>
  </r>
  <r>
    <n v="787"/>
    <x v="786"/>
    <s v="CUST787"/>
    <x v="2"/>
    <x v="1"/>
    <x v="30"/>
    <x v="4"/>
    <x v="2"/>
    <n v="262"/>
    <n v="524"/>
  </r>
  <r>
    <n v="788"/>
    <x v="787"/>
    <s v="CUST788"/>
    <x v="0"/>
    <x v="1"/>
    <x v="15"/>
    <x v="1"/>
    <x v="1"/>
    <n v="68"/>
    <n v="272"/>
  </r>
  <r>
    <n v="789"/>
    <x v="788"/>
    <s v="CUST789"/>
    <x v="2"/>
    <x v="0"/>
    <x v="39"/>
    <x v="2"/>
    <x v="4"/>
    <n v="392"/>
    <n v="1960"/>
  </r>
  <r>
    <n v="790"/>
    <x v="789"/>
    <s v="CUST790"/>
    <x v="2"/>
    <x v="1"/>
    <x v="27"/>
    <x v="1"/>
    <x v="3"/>
    <n v="325"/>
    <n v="325"/>
  </r>
  <r>
    <n v="791"/>
    <x v="790"/>
    <s v="CUST791"/>
    <x v="0"/>
    <x v="0"/>
    <x v="24"/>
    <x v="0"/>
    <x v="0"/>
    <n v="278"/>
    <n v="834"/>
  </r>
  <r>
    <n v="792"/>
    <x v="791"/>
    <s v="CUST792"/>
    <x v="1"/>
    <x v="0"/>
    <x v="2"/>
    <x v="1"/>
    <x v="3"/>
    <n v="273"/>
    <n v="273"/>
  </r>
  <r>
    <n v="793"/>
    <x v="792"/>
    <s v="CUST793"/>
    <x v="2"/>
    <x v="1"/>
    <x v="16"/>
    <x v="0"/>
    <x v="3"/>
    <n v="373"/>
    <n v="373"/>
  </r>
  <r>
    <n v="794"/>
    <x v="793"/>
    <s v="CUST794"/>
    <x v="1"/>
    <x v="1"/>
    <x v="19"/>
    <x v="2"/>
    <x v="2"/>
    <n v="398"/>
    <n v="796"/>
  </r>
  <r>
    <n v="795"/>
    <x v="794"/>
    <s v="CUST795"/>
    <x v="2"/>
    <x v="0"/>
    <x v="23"/>
    <x v="2"/>
    <x v="4"/>
    <n v="326"/>
    <n v="1630"/>
  </r>
  <r>
    <n v="796"/>
    <x v="795"/>
    <s v="CUST796"/>
    <x v="0"/>
    <x v="1"/>
    <x v="41"/>
    <x v="2"/>
    <x v="2"/>
    <n v="180"/>
    <n v="360"/>
  </r>
  <r>
    <n v="797"/>
    <x v="796"/>
    <s v="CUST797"/>
    <x v="0"/>
    <x v="0"/>
    <x v="7"/>
    <x v="1"/>
    <x v="3"/>
    <n v="447"/>
    <n v="447"/>
  </r>
  <r>
    <n v="798"/>
    <x v="797"/>
    <s v="CUST798"/>
    <x v="3"/>
    <x v="1"/>
    <x v="1"/>
    <x v="4"/>
    <x v="4"/>
    <n v="398"/>
    <n v="1990"/>
  </r>
  <r>
    <n v="799"/>
    <x v="798"/>
    <s v="CUST799"/>
    <x v="0"/>
    <x v="0"/>
    <x v="42"/>
    <x v="1"/>
    <x v="3"/>
    <n v="158"/>
    <n v="158"/>
  </r>
  <r>
    <n v="800"/>
    <x v="799"/>
    <s v="CUST800"/>
    <x v="3"/>
    <x v="0"/>
    <x v="40"/>
    <x v="2"/>
    <x v="3"/>
    <n v="208"/>
    <n v="208"/>
  </r>
  <r>
    <n v="801"/>
    <x v="800"/>
    <s v="CUST801"/>
    <x v="2"/>
    <x v="1"/>
    <x v="37"/>
    <x v="2"/>
    <x v="1"/>
    <n v="21"/>
    <n v="84"/>
  </r>
  <r>
    <n v="802"/>
    <x v="801"/>
    <s v="CUST802"/>
    <x v="1"/>
    <x v="1"/>
    <x v="40"/>
    <x v="1"/>
    <x v="4"/>
    <n v="145"/>
    <n v="725"/>
  </r>
  <r>
    <n v="803"/>
    <x v="802"/>
    <s v="CUST803"/>
    <x v="0"/>
    <x v="1"/>
    <x v="19"/>
    <x v="1"/>
    <x v="1"/>
    <n v="494"/>
    <n v="1976"/>
  </r>
  <r>
    <n v="804"/>
    <x v="803"/>
    <s v="CUST804"/>
    <x v="0"/>
    <x v="0"/>
    <x v="9"/>
    <x v="1"/>
    <x v="1"/>
    <n v="352"/>
    <n v="1408"/>
  </r>
  <r>
    <n v="805"/>
    <x v="804"/>
    <s v="CUST805"/>
    <x v="0"/>
    <x v="1"/>
    <x v="6"/>
    <x v="0"/>
    <x v="0"/>
    <n v="111"/>
    <n v="333"/>
  </r>
  <r>
    <n v="806"/>
    <x v="805"/>
    <s v="CUST806"/>
    <x v="2"/>
    <x v="1"/>
    <x v="0"/>
    <x v="2"/>
    <x v="2"/>
    <n v="493"/>
    <n v="986"/>
  </r>
  <r>
    <n v="807"/>
    <x v="806"/>
    <s v="CUST807"/>
    <x v="3"/>
    <x v="1"/>
    <x v="26"/>
    <x v="4"/>
    <x v="3"/>
    <n v="83"/>
    <n v="83"/>
  </r>
  <r>
    <n v="808"/>
    <x v="807"/>
    <s v="CUST808"/>
    <x v="2"/>
    <x v="0"/>
    <x v="16"/>
    <x v="1"/>
    <x v="1"/>
    <n v="48"/>
    <n v="192"/>
  </r>
  <r>
    <n v="809"/>
    <x v="808"/>
    <s v="CUST809"/>
    <x v="1"/>
    <x v="1"/>
    <x v="3"/>
    <x v="2"/>
    <x v="0"/>
    <n v="389"/>
    <n v="1167"/>
  </r>
  <r>
    <n v="810"/>
    <x v="809"/>
    <s v="CUST810"/>
    <x v="2"/>
    <x v="1"/>
    <x v="4"/>
    <x v="1"/>
    <x v="4"/>
    <n v="378"/>
    <n v="1890"/>
  </r>
  <r>
    <n v="811"/>
    <x v="810"/>
    <s v="CUST811"/>
    <x v="1"/>
    <x v="1"/>
    <x v="23"/>
    <x v="0"/>
    <x v="4"/>
    <n v="498"/>
    <n v="2490"/>
  </r>
  <r>
    <n v="812"/>
    <x v="811"/>
    <s v="CUST812"/>
    <x v="0"/>
    <x v="0"/>
    <x v="30"/>
    <x v="2"/>
    <x v="1"/>
    <n v="476"/>
    <n v="1904"/>
  </r>
  <r>
    <n v="813"/>
    <x v="812"/>
    <s v="CUST813"/>
    <x v="1"/>
    <x v="0"/>
    <x v="34"/>
    <x v="0"/>
    <x v="4"/>
    <n v="393"/>
    <n v="1965"/>
  </r>
  <r>
    <n v="814"/>
    <x v="813"/>
    <s v="CUST814"/>
    <x v="1"/>
    <x v="1"/>
    <x v="8"/>
    <x v="1"/>
    <x v="2"/>
    <n v="27"/>
    <n v="54"/>
  </r>
  <r>
    <n v="815"/>
    <x v="814"/>
    <s v="CUST815"/>
    <x v="3"/>
    <x v="0"/>
    <x v="23"/>
    <x v="0"/>
    <x v="4"/>
    <n v="334"/>
    <n v="1670"/>
  </r>
  <r>
    <n v="816"/>
    <x v="815"/>
    <s v="CUST816"/>
    <x v="1"/>
    <x v="1"/>
    <x v="42"/>
    <x v="0"/>
    <x v="4"/>
    <n v="114"/>
    <n v="570"/>
  </r>
  <r>
    <n v="817"/>
    <x v="816"/>
    <s v="CUST817"/>
    <x v="1"/>
    <x v="0"/>
    <x v="20"/>
    <x v="3"/>
    <x v="3"/>
    <n v="90"/>
    <n v="90"/>
  </r>
  <r>
    <n v="818"/>
    <x v="817"/>
    <s v="CUST818"/>
    <x v="2"/>
    <x v="1"/>
    <x v="34"/>
    <x v="4"/>
    <x v="1"/>
    <n v="295"/>
    <n v="1180"/>
  </r>
  <r>
    <n v="819"/>
    <x v="818"/>
    <s v="CUST819"/>
    <x v="0"/>
    <x v="0"/>
    <x v="24"/>
    <x v="2"/>
    <x v="0"/>
    <n v="140"/>
    <n v="420"/>
  </r>
  <r>
    <n v="820"/>
    <x v="819"/>
    <s v="CUST820"/>
    <x v="2"/>
    <x v="1"/>
    <x v="26"/>
    <x v="1"/>
    <x v="4"/>
    <n v="107"/>
    <n v="535"/>
  </r>
  <r>
    <n v="821"/>
    <x v="820"/>
    <s v="CUST821"/>
    <x v="2"/>
    <x v="1"/>
    <x v="2"/>
    <x v="2"/>
    <x v="2"/>
    <n v="315"/>
    <n v="630"/>
  </r>
  <r>
    <n v="822"/>
    <x v="821"/>
    <s v="CUST822"/>
    <x v="0"/>
    <x v="1"/>
    <x v="31"/>
    <x v="4"/>
    <x v="4"/>
    <n v="271"/>
    <n v="1355"/>
  </r>
  <r>
    <n v="823"/>
    <x v="822"/>
    <s v="CUST823"/>
    <x v="0"/>
    <x v="1"/>
    <x v="25"/>
    <x v="4"/>
    <x v="1"/>
    <n v="453"/>
    <n v="1812"/>
  </r>
  <r>
    <n v="824"/>
    <x v="823"/>
    <s v="CUST824"/>
    <x v="1"/>
    <x v="1"/>
    <x v="33"/>
    <x v="3"/>
    <x v="1"/>
    <n v="183"/>
    <n v="732"/>
  </r>
  <r>
    <n v="825"/>
    <x v="824"/>
    <s v="CUST825"/>
    <x v="1"/>
    <x v="0"/>
    <x v="9"/>
    <x v="1"/>
    <x v="1"/>
    <n v="342"/>
    <n v="1368"/>
  </r>
  <r>
    <n v="826"/>
    <x v="825"/>
    <s v="CUST826"/>
    <x v="3"/>
    <x v="0"/>
    <x v="36"/>
    <x v="4"/>
    <x v="2"/>
    <n v="64"/>
    <n v="128"/>
  </r>
  <r>
    <n v="827"/>
    <x v="826"/>
    <s v="CUST827"/>
    <x v="2"/>
    <x v="0"/>
    <x v="38"/>
    <x v="4"/>
    <x v="4"/>
    <n v="225"/>
    <n v="1125"/>
  </r>
  <r>
    <n v="828"/>
    <x v="827"/>
    <s v="CUST828"/>
    <x v="0"/>
    <x v="1"/>
    <x v="1"/>
    <x v="1"/>
    <x v="1"/>
    <n v="427"/>
    <n v="1708"/>
  </r>
  <r>
    <n v="829"/>
    <x v="828"/>
    <s v="CUST829"/>
    <x v="1"/>
    <x v="0"/>
    <x v="21"/>
    <x v="2"/>
    <x v="3"/>
    <n v="124"/>
    <n v="124"/>
  </r>
  <r>
    <n v="830"/>
    <x v="829"/>
    <s v="CUST830"/>
    <x v="0"/>
    <x v="1"/>
    <x v="31"/>
    <x v="2"/>
    <x v="1"/>
    <n v="94"/>
    <n v="376"/>
  </r>
  <r>
    <n v="831"/>
    <x v="830"/>
    <s v="CUST831"/>
    <x v="1"/>
    <x v="0"/>
    <x v="3"/>
    <x v="0"/>
    <x v="1"/>
    <n v="482"/>
    <n v="1928"/>
  </r>
  <r>
    <n v="832"/>
    <x v="831"/>
    <s v="CUST832"/>
    <x v="3"/>
    <x v="1"/>
    <x v="34"/>
    <x v="3"/>
    <x v="1"/>
    <n v="177"/>
    <n v="708"/>
  </r>
  <r>
    <n v="833"/>
    <x v="832"/>
    <s v="CUST833"/>
    <x v="3"/>
    <x v="1"/>
    <x v="15"/>
    <x v="0"/>
    <x v="3"/>
    <n v="142"/>
    <n v="142"/>
  </r>
  <r>
    <n v="834"/>
    <x v="833"/>
    <s v="CUST834"/>
    <x v="0"/>
    <x v="1"/>
    <x v="5"/>
    <x v="1"/>
    <x v="0"/>
    <n v="64"/>
    <n v="192"/>
  </r>
  <r>
    <n v="835"/>
    <x v="834"/>
    <s v="CUST835"/>
    <x v="3"/>
    <x v="1"/>
    <x v="41"/>
    <x v="3"/>
    <x v="2"/>
    <n v="251"/>
    <n v="502"/>
  </r>
  <r>
    <n v="836"/>
    <x v="835"/>
    <s v="CUST836"/>
    <x v="0"/>
    <x v="1"/>
    <x v="10"/>
    <x v="0"/>
    <x v="0"/>
    <n v="442"/>
    <n v="1326"/>
  </r>
  <r>
    <n v="837"/>
    <x v="836"/>
    <s v="CUST837"/>
    <x v="1"/>
    <x v="0"/>
    <x v="7"/>
    <x v="1"/>
    <x v="2"/>
    <n v="476"/>
    <n v="952"/>
  </r>
  <r>
    <n v="838"/>
    <x v="837"/>
    <s v="CUST838"/>
    <x v="2"/>
    <x v="0"/>
    <x v="32"/>
    <x v="0"/>
    <x v="2"/>
    <n v="464"/>
    <n v="928"/>
  </r>
  <r>
    <n v="839"/>
    <x v="838"/>
    <s v="CUST839"/>
    <x v="3"/>
    <x v="1"/>
    <x v="35"/>
    <x v="1"/>
    <x v="2"/>
    <n v="326"/>
    <n v="652"/>
  </r>
  <r>
    <n v="840"/>
    <x v="839"/>
    <s v="CUST840"/>
    <x v="1"/>
    <x v="1"/>
    <x v="33"/>
    <x v="2"/>
    <x v="1"/>
    <n v="433"/>
    <n v="1732"/>
  </r>
  <r>
    <n v="841"/>
    <x v="840"/>
    <s v="CUST841"/>
    <x v="2"/>
    <x v="0"/>
    <x v="0"/>
    <x v="0"/>
    <x v="4"/>
    <n v="219"/>
    <n v="1095"/>
  </r>
  <r>
    <n v="842"/>
    <x v="841"/>
    <s v="CUST842"/>
    <x v="2"/>
    <x v="1"/>
    <x v="30"/>
    <x v="4"/>
    <x v="4"/>
    <n v="496"/>
    <n v="2480"/>
  </r>
  <r>
    <n v="843"/>
    <x v="842"/>
    <s v="CUST843"/>
    <x v="2"/>
    <x v="1"/>
    <x v="41"/>
    <x v="2"/>
    <x v="4"/>
    <n v="293"/>
    <n v="1465"/>
  </r>
  <r>
    <n v="844"/>
    <x v="843"/>
    <s v="CUST844"/>
    <x v="1"/>
    <x v="0"/>
    <x v="39"/>
    <x v="4"/>
    <x v="3"/>
    <n v="481"/>
    <n v="481"/>
  </r>
  <r>
    <n v="845"/>
    <x v="844"/>
    <s v="CUST845"/>
    <x v="1"/>
    <x v="1"/>
    <x v="41"/>
    <x v="2"/>
    <x v="2"/>
    <n v="126"/>
    <n v="252"/>
  </r>
  <r>
    <n v="846"/>
    <x v="845"/>
    <s v="CUST846"/>
    <x v="0"/>
    <x v="1"/>
    <x v="27"/>
    <x v="4"/>
    <x v="4"/>
    <n v="397"/>
    <n v="1985"/>
  </r>
  <r>
    <n v="847"/>
    <x v="846"/>
    <s v="CUST847"/>
    <x v="2"/>
    <x v="1"/>
    <x v="10"/>
    <x v="1"/>
    <x v="2"/>
    <n v="490"/>
    <n v="980"/>
  </r>
  <r>
    <n v="848"/>
    <x v="847"/>
    <s v="CUST848"/>
    <x v="2"/>
    <x v="1"/>
    <x v="5"/>
    <x v="4"/>
    <x v="1"/>
    <n v="304"/>
    <n v="1216"/>
  </r>
  <r>
    <n v="849"/>
    <x v="848"/>
    <s v="CUST849"/>
    <x v="2"/>
    <x v="1"/>
    <x v="21"/>
    <x v="4"/>
    <x v="2"/>
    <n v="103"/>
    <n v="206"/>
  </r>
  <r>
    <n v="850"/>
    <x v="849"/>
    <s v="CUST850"/>
    <x v="0"/>
    <x v="1"/>
    <x v="41"/>
    <x v="0"/>
    <x v="0"/>
    <n v="68"/>
    <n v="204"/>
  </r>
  <r>
    <n v="851"/>
    <x v="850"/>
    <s v="CUST851"/>
    <x v="2"/>
    <x v="1"/>
    <x v="35"/>
    <x v="1"/>
    <x v="3"/>
    <n v="384"/>
    <n v="384"/>
  </r>
  <r>
    <n v="852"/>
    <x v="851"/>
    <s v="CUST852"/>
    <x v="1"/>
    <x v="0"/>
    <x v="20"/>
    <x v="2"/>
    <x v="2"/>
    <n v="247"/>
    <n v="494"/>
  </r>
  <r>
    <n v="853"/>
    <x v="852"/>
    <s v="CUST853"/>
    <x v="2"/>
    <x v="1"/>
    <x v="21"/>
    <x v="3"/>
    <x v="0"/>
    <n v="87"/>
    <n v="261"/>
  </r>
  <r>
    <n v="854"/>
    <x v="853"/>
    <s v="CUST854"/>
    <x v="3"/>
    <x v="0"/>
    <x v="28"/>
    <x v="4"/>
    <x v="3"/>
    <n v="40"/>
    <n v="40"/>
  </r>
  <r>
    <n v="855"/>
    <x v="854"/>
    <s v="CUST855"/>
    <x v="1"/>
    <x v="1"/>
    <x v="21"/>
    <x v="0"/>
    <x v="4"/>
    <n v="451"/>
    <n v="2255"/>
  </r>
  <r>
    <n v="856"/>
    <x v="855"/>
    <s v="CUST856"/>
    <x v="0"/>
    <x v="0"/>
    <x v="19"/>
    <x v="1"/>
    <x v="3"/>
    <n v="379"/>
    <n v="379"/>
  </r>
  <r>
    <n v="857"/>
    <x v="856"/>
    <s v="CUST857"/>
    <x v="2"/>
    <x v="0"/>
    <x v="3"/>
    <x v="0"/>
    <x v="1"/>
    <n v="410"/>
    <n v="1640"/>
  </r>
  <r>
    <n v="858"/>
    <x v="857"/>
    <s v="CUST858"/>
    <x v="3"/>
    <x v="0"/>
    <x v="16"/>
    <x v="3"/>
    <x v="0"/>
    <n v="308"/>
    <n v="924"/>
  </r>
  <r>
    <n v="859"/>
    <x v="858"/>
    <s v="CUST859"/>
    <x v="0"/>
    <x v="0"/>
    <x v="2"/>
    <x v="1"/>
    <x v="2"/>
    <n v="305"/>
    <n v="610"/>
  </r>
  <r>
    <n v="860"/>
    <x v="859"/>
    <s v="CUST860"/>
    <x v="0"/>
    <x v="0"/>
    <x v="6"/>
    <x v="4"/>
    <x v="1"/>
    <n v="377"/>
    <n v="1508"/>
  </r>
  <r>
    <n v="861"/>
    <x v="860"/>
    <s v="CUST861"/>
    <x v="1"/>
    <x v="1"/>
    <x v="32"/>
    <x v="3"/>
    <x v="2"/>
    <n v="209"/>
    <n v="418"/>
  </r>
  <r>
    <n v="862"/>
    <x v="861"/>
    <s v="CUST862"/>
    <x v="0"/>
    <x v="1"/>
    <x v="27"/>
    <x v="1"/>
    <x v="0"/>
    <n v="104"/>
    <n v="312"/>
  </r>
  <r>
    <n v="863"/>
    <x v="862"/>
    <s v="CUST863"/>
    <x v="0"/>
    <x v="0"/>
    <x v="34"/>
    <x v="3"/>
    <x v="2"/>
    <n v="481"/>
    <n v="962"/>
  </r>
  <r>
    <n v="864"/>
    <x v="863"/>
    <s v="CUST864"/>
    <x v="0"/>
    <x v="0"/>
    <x v="37"/>
    <x v="0"/>
    <x v="1"/>
    <n v="425"/>
    <n v="1700"/>
  </r>
  <r>
    <n v="865"/>
    <x v="864"/>
    <s v="CUST865"/>
    <x v="0"/>
    <x v="0"/>
    <x v="7"/>
    <x v="1"/>
    <x v="2"/>
    <n v="309"/>
    <n v="618"/>
  </r>
  <r>
    <n v="866"/>
    <x v="865"/>
    <s v="CUST866"/>
    <x v="2"/>
    <x v="1"/>
    <x v="19"/>
    <x v="2"/>
    <x v="2"/>
    <n v="67"/>
    <n v="134"/>
  </r>
  <r>
    <n v="867"/>
    <x v="866"/>
    <s v="CUST867"/>
    <x v="2"/>
    <x v="0"/>
    <x v="17"/>
    <x v="2"/>
    <x v="1"/>
    <n v="474"/>
    <n v="1896"/>
  </r>
  <r>
    <n v="868"/>
    <x v="867"/>
    <s v="CUST868"/>
    <x v="2"/>
    <x v="1"/>
    <x v="5"/>
    <x v="1"/>
    <x v="4"/>
    <n v="167"/>
    <n v="835"/>
  </r>
  <r>
    <n v="869"/>
    <x v="868"/>
    <s v="CUST869"/>
    <x v="2"/>
    <x v="1"/>
    <x v="42"/>
    <x v="4"/>
    <x v="1"/>
    <n v="317"/>
    <n v="1268"/>
  </r>
  <r>
    <n v="870"/>
    <x v="869"/>
    <s v="CUST870"/>
    <x v="3"/>
    <x v="0"/>
    <x v="3"/>
    <x v="1"/>
    <x v="1"/>
    <n v="447"/>
    <n v="1788"/>
  </r>
  <r>
    <n v="871"/>
    <x v="870"/>
    <s v="CUST871"/>
    <x v="2"/>
    <x v="0"/>
    <x v="10"/>
    <x v="2"/>
    <x v="4"/>
    <n v="100"/>
    <n v="500"/>
  </r>
  <r>
    <n v="872"/>
    <x v="871"/>
    <s v="CUST872"/>
    <x v="0"/>
    <x v="1"/>
    <x v="32"/>
    <x v="2"/>
    <x v="1"/>
    <n v="307"/>
    <n v="1228"/>
  </r>
  <r>
    <n v="873"/>
    <x v="872"/>
    <s v="CUST873"/>
    <x v="2"/>
    <x v="1"/>
    <x v="32"/>
    <x v="4"/>
    <x v="0"/>
    <n v="60"/>
    <n v="180"/>
  </r>
  <r>
    <n v="874"/>
    <x v="873"/>
    <s v="CUST874"/>
    <x v="2"/>
    <x v="0"/>
    <x v="11"/>
    <x v="0"/>
    <x v="0"/>
    <n v="43"/>
    <n v="129"/>
  </r>
  <r>
    <n v="875"/>
    <x v="874"/>
    <s v="CUST875"/>
    <x v="1"/>
    <x v="1"/>
    <x v="36"/>
    <x v="1"/>
    <x v="1"/>
    <n v="137"/>
    <n v="548"/>
  </r>
  <r>
    <n v="876"/>
    <x v="875"/>
    <s v="CUST876"/>
    <x v="0"/>
    <x v="0"/>
    <x v="14"/>
    <x v="4"/>
    <x v="0"/>
    <n v="117"/>
    <n v="351"/>
  </r>
  <r>
    <n v="877"/>
    <x v="876"/>
    <s v="CUST877"/>
    <x v="2"/>
    <x v="0"/>
    <x v="34"/>
    <x v="1"/>
    <x v="2"/>
    <n v="181"/>
    <n v="362"/>
  </r>
  <r>
    <n v="878"/>
    <x v="877"/>
    <s v="CUST878"/>
    <x v="2"/>
    <x v="1"/>
    <x v="21"/>
    <x v="1"/>
    <x v="4"/>
    <n v="182"/>
    <n v="910"/>
  </r>
  <r>
    <n v="879"/>
    <x v="878"/>
    <s v="CUST879"/>
    <x v="2"/>
    <x v="0"/>
    <x v="41"/>
    <x v="2"/>
    <x v="3"/>
    <n v="42"/>
    <n v="42"/>
  </r>
  <r>
    <n v="880"/>
    <x v="879"/>
    <s v="CUST880"/>
    <x v="3"/>
    <x v="0"/>
    <x v="37"/>
    <x v="0"/>
    <x v="3"/>
    <n v="344"/>
    <n v="344"/>
  </r>
  <r>
    <n v="881"/>
    <x v="880"/>
    <s v="CUST881"/>
    <x v="2"/>
    <x v="1"/>
    <x v="3"/>
    <x v="3"/>
    <x v="2"/>
    <n v="342"/>
    <n v="684"/>
  </r>
  <r>
    <n v="882"/>
    <x v="881"/>
    <s v="CUST882"/>
    <x v="1"/>
    <x v="1"/>
    <x v="22"/>
    <x v="1"/>
    <x v="3"/>
    <n v="483"/>
    <n v="483"/>
  </r>
  <r>
    <n v="883"/>
    <x v="882"/>
    <s v="CUST883"/>
    <x v="0"/>
    <x v="1"/>
    <x v="1"/>
    <x v="4"/>
    <x v="2"/>
    <n v="227"/>
    <n v="454"/>
  </r>
  <r>
    <n v="884"/>
    <x v="883"/>
    <s v="CUST884"/>
    <x v="0"/>
    <x v="1"/>
    <x v="17"/>
    <x v="1"/>
    <x v="2"/>
    <n v="373"/>
    <n v="746"/>
  </r>
  <r>
    <n v="885"/>
    <x v="884"/>
    <s v="CUST885"/>
    <x v="2"/>
    <x v="1"/>
    <x v="29"/>
    <x v="4"/>
    <x v="0"/>
    <n v="296"/>
    <n v="888"/>
  </r>
  <r>
    <n v="886"/>
    <x v="885"/>
    <s v="CUST886"/>
    <x v="2"/>
    <x v="1"/>
    <x v="11"/>
    <x v="3"/>
    <x v="4"/>
    <n v="300"/>
    <n v="1500"/>
  </r>
  <r>
    <n v="887"/>
    <x v="886"/>
    <s v="CUST887"/>
    <x v="2"/>
    <x v="1"/>
    <x v="19"/>
    <x v="2"/>
    <x v="0"/>
    <n v="53"/>
    <n v="159"/>
  </r>
  <r>
    <n v="888"/>
    <x v="887"/>
    <s v="CUST888"/>
    <x v="0"/>
    <x v="1"/>
    <x v="34"/>
    <x v="3"/>
    <x v="2"/>
    <n v="381"/>
    <n v="762"/>
  </r>
  <r>
    <n v="889"/>
    <x v="888"/>
    <s v="CUST889"/>
    <x v="0"/>
    <x v="0"/>
    <x v="20"/>
    <x v="2"/>
    <x v="2"/>
    <n v="363"/>
    <n v="726"/>
  </r>
  <r>
    <n v="890"/>
    <x v="889"/>
    <s v="CUST890"/>
    <x v="3"/>
    <x v="0"/>
    <x v="33"/>
    <x v="2"/>
    <x v="3"/>
    <n v="213"/>
    <n v="213"/>
  </r>
  <r>
    <n v="891"/>
    <x v="890"/>
    <s v="CUST891"/>
    <x v="1"/>
    <x v="1"/>
    <x v="22"/>
    <x v="4"/>
    <x v="2"/>
    <n v="87"/>
    <n v="174"/>
  </r>
  <r>
    <n v="892"/>
    <x v="891"/>
    <s v="CUST892"/>
    <x v="3"/>
    <x v="1"/>
    <x v="42"/>
    <x v="4"/>
    <x v="2"/>
    <n v="238"/>
    <n v="476"/>
  </r>
  <r>
    <n v="893"/>
    <x v="892"/>
    <s v="CUST893"/>
    <x v="1"/>
    <x v="0"/>
    <x v="10"/>
    <x v="2"/>
    <x v="2"/>
    <n v="103"/>
    <n v="206"/>
  </r>
  <r>
    <n v="894"/>
    <x v="893"/>
    <s v="CUST894"/>
    <x v="3"/>
    <x v="0"/>
    <x v="7"/>
    <x v="4"/>
    <x v="2"/>
    <n v="413"/>
    <n v="826"/>
  </r>
  <r>
    <n v="895"/>
    <x v="894"/>
    <s v="CUST895"/>
    <x v="0"/>
    <x v="1"/>
    <x v="16"/>
    <x v="4"/>
    <x v="4"/>
    <n v="401"/>
    <n v="2005"/>
  </r>
  <r>
    <n v="896"/>
    <x v="895"/>
    <s v="CUST896"/>
    <x v="3"/>
    <x v="1"/>
    <x v="4"/>
    <x v="3"/>
    <x v="4"/>
    <n v="30"/>
    <n v="150"/>
  </r>
  <r>
    <n v="897"/>
    <x v="896"/>
    <s v="CUST897"/>
    <x v="1"/>
    <x v="1"/>
    <x v="29"/>
    <x v="0"/>
    <x v="2"/>
    <n v="302"/>
    <n v="604"/>
  </r>
  <r>
    <n v="898"/>
    <x v="897"/>
    <s v="CUST898"/>
    <x v="2"/>
    <x v="0"/>
    <x v="0"/>
    <x v="4"/>
    <x v="4"/>
    <n v="487"/>
    <n v="2435"/>
  </r>
  <r>
    <n v="899"/>
    <x v="898"/>
    <s v="CUST899"/>
    <x v="1"/>
    <x v="0"/>
    <x v="41"/>
    <x v="1"/>
    <x v="1"/>
    <n v="309"/>
    <n v="1236"/>
  </r>
  <r>
    <n v="900"/>
    <x v="899"/>
    <s v="CUST900"/>
    <x v="2"/>
    <x v="0"/>
    <x v="34"/>
    <x v="3"/>
    <x v="3"/>
    <n v="45"/>
    <n v="45"/>
  </r>
  <r>
    <n v="901"/>
    <x v="900"/>
    <s v="CUST901"/>
    <x v="0"/>
    <x v="1"/>
    <x v="4"/>
    <x v="4"/>
    <x v="4"/>
    <n v="159"/>
    <n v="795"/>
  </r>
  <r>
    <n v="902"/>
    <x v="901"/>
    <s v="CUST902"/>
    <x v="1"/>
    <x v="0"/>
    <x v="13"/>
    <x v="2"/>
    <x v="3"/>
    <n v="474"/>
    <n v="474"/>
  </r>
  <r>
    <n v="903"/>
    <x v="902"/>
    <s v="CUST903"/>
    <x v="3"/>
    <x v="1"/>
    <x v="34"/>
    <x v="2"/>
    <x v="4"/>
    <n v="206"/>
    <n v="1030"/>
  </r>
  <r>
    <n v="904"/>
    <x v="903"/>
    <s v="CUST904"/>
    <x v="1"/>
    <x v="1"/>
    <x v="9"/>
    <x v="4"/>
    <x v="1"/>
    <n v="309"/>
    <n v="1236"/>
  </r>
  <r>
    <n v="905"/>
    <x v="904"/>
    <s v="CUST905"/>
    <x v="2"/>
    <x v="0"/>
    <x v="32"/>
    <x v="1"/>
    <x v="2"/>
    <n v="373"/>
    <n v="746"/>
  </r>
  <r>
    <n v="906"/>
    <x v="905"/>
    <s v="CUST906"/>
    <x v="0"/>
    <x v="1"/>
    <x v="31"/>
    <x v="0"/>
    <x v="3"/>
    <n v="335"/>
    <n v="335"/>
  </r>
  <r>
    <n v="907"/>
    <x v="906"/>
    <s v="CUST907"/>
    <x v="3"/>
    <x v="1"/>
    <x v="26"/>
    <x v="3"/>
    <x v="4"/>
    <n v="74"/>
    <n v="370"/>
  </r>
  <r>
    <n v="908"/>
    <x v="907"/>
    <s v="CUST908"/>
    <x v="1"/>
    <x v="1"/>
    <x v="0"/>
    <x v="3"/>
    <x v="3"/>
    <n v="312"/>
    <n v="312"/>
  </r>
  <r>
    <n v="909"/>
    <x v="908"/>
    <s v="CUST909"/>
    <x v="2"/>
    <x v="0"/>
    <x v="30"/>
    <x v="2"/>
    <x v="1"/>
    <n v="255"/>
    <n v="1020"/>
  </r>
  <r>
    <n v="910"/>
    <x v="909"/>
    <s v="CUST910"/>
    <x v="3"/>
    <x v="1"/>
    <x v="25"/>
    <x v="3"/>
    <x v="2"/>
    <n v="316"/>
    <n v="632"/>
  </r>
  <r>
    <n v="911"/>
    <x v="910"/>
    <s v="CUST911"/>
    <x v="0"/>
    <x v="1"/>
    <x v="25"/>
    <x v="0"/>
    <x v="2"/>
    <n v="390"/>
    <n v="780"/>
  </r>
  <r>
    <n v="912"/>
    <x v="911"/>
    <s v="CUST912"/>
    <x v="3"/>
    <x v="0"/>
    <x v="21"/>
    <x v="0"/>
    <x v="3"/>
    <n v="123"/>
    <n v="123"/>
  </r>
  <r>
    <n v="913"/>
    <x v="912"/>
    <s v="CUST913"/>
    <x v="0"/>
    <x v="1"/>
    <x v="5"/>
    <x v="1"/>
    <x v="1"/>
    <n v="131"/>
    <n v="524"/>
  </r>
  <r>
    <n v="914"/>
    <x v="913"/>
    <s v="CUST914"/>
    <x v="3"/>
    <x v="1"/>
    <x v="5"/>
    <x v="3"/>
    <x v="2"/>
    <n v="486"/>
    <n v="972"/>
  </r>
  <r>
    <n v="915"/>
    <x v="914"/>
    <s v="CUST915"/>
    <x v="1"/>
    <x v="0"/>
    <x v="6"/>
    <x v="0"/>
    <x v="4"/>
    <n v="94"/>
    <n v="470"/>
  </r>
  <r>
    <n v="916"/>
    <x v="915"/>
    <s v="CUST916"/>
    <x v="2"/>
    <x v="0"/>
    <x v="8"/>
    <x v="2"/>
    <x v="2"/>
    <n v="352"/>
    <n v="704"/>
  </r>
  <r>
    <n v="917"/>
    <x v="916"/>
    <s v="CUST917"/>
    <x v="1"/>
    <x v="1"/>
    <x v="13"/>
    <x v="2"/>
    <x v="3"/>
    <n v="71"/>
    <n v="71"/>
  </r>
  <r>
    <n v="918"/>
    <x v="917"/>
    <s v="CUST918"/>
    <x v="1"/>
    <x v="1"/>
    <x v="21"/>
    <x v="1"/>
    <x v="2"/>
    <n v="217"/>
    <n v="434"/>
  </r>
  <r>
    <n v="919"/>
    <x v="918"/>
    <s v="CUST919"/>
    <x v="0"/>
    <x v="1"/>
    <x v="40"/>
    <x v="1"/>
    <x v="0"/>
    <n v="464"/>
    <n v="1392"/>
  </r>
  <r>
    <n v="920"/>
    <x v="919"/>
    <s v="CUST920"/>
    <x v="0"/>
    <x v="1"/>
    <x v="11"/>
    <x v="3"/>
    <x v="1"/>
    <n v="387"/>
    <n v="1548"/>
  </r>
  <r>
    <n v="921"/>
    <x v="920"/>
    <s v="CUST921"/>
    <x v="0"/>
    <x v="1"/>
    <x v="25"/>
    <x v="1"/>
    <x v="4"/>
    <n v="46"/>
    <n v="230"/>
  </r>
  <r>
    <n v="922"/>
    <x v="921"/>
    <s v="CUST922"/>
    <x v="1"/>
    <x v="0"/>
    <x v="4"/>
    <x v="3"/>
    <x v="0"/>
    <n v="35"/>
    <n v="105"/>
  </r>
  <r>
    <n v="923"/>
    <x v="922"/>
    <s v="CUST923"/>
    <x v="3"/>
    <x v="1"/>
    <x v="18"/>
    <x v="2"/>
    <x v="2"/>
    <n v="498"/>
    <n v="996"/>
  </r>
  <r>
    <n v="924"/>
    <x v="923"/>
    <s v="CUST924"/>
    <x v="3"/>
    <x v="0"/>
    <x v="25"/>
    <x v="4"/>
    <x v="2"/>
    <n v="442"/>
    <n v="884"/>
  </r>
  <r>
    <n v="925"/>
    <x v="924"/>
    <s v="CUST925"/>
    <x v="1"/>
    <x v="0"/>
    <x v="8"/>
    <x v="3"/>
    <x v="1"/>
    <n v="67"/>
    <n v="268"/>
  </r>
  <r>
    <n v="926"/>
    <x v="925"/>
    <s v="CUST926"/>
    <x v="1"/>
    <x v="1"/>
    <x v="38"/>
    <x v="1"/>
    <x v="0"/>
    <n v="472"/>
    <n v="1416"/>
  </r>
  <r>
    <n v="927"/>
    <x v="926"/>
    <s v="CUST927"/>
    <x v="2"/>
    <x v="1"/>
    <x v="38"/>
    <x v="0"/>
    <x v="0"/>
    <n v="86"/>
    <n v="258"/>
  </r>
  <r>
    <n v="928"/>
    <x v="927"/>
    <s v="CUST928"/>
    <x v="0"/>
    <x v="1"/>
    <x v="39"/>
    <x v="4"/>
    <x v="1"/>
    <n v="419"/>
    <n v="1676"/>
  </r>
  <r>
    <n v="929"/>
    <x v="928"/>
    <s v="CUST929"/>
    <x v="0"/>
    <x v="1"/>
    <x v="28"/>
    <x v="3"/>
    <x v="1"/>
    <n v="259"/>
    <n v="1036"/>
  </r>
  <r>
    <n v="930"/>
    <x v="929"/>
    <s v="CUST930"/>
    <x v="1"/>
    <x v="0"/>
    <x v="6"/>
    <x v="2"/>
    <x v="0"/>
    <n v="22"/>
    <n v="66"/>
  </r>
  <r>
    <n v="931"/>
    <x v="930"/>
    <s v="CUST931"/>
    <x v="1"/>
    <x v="0"/>
    <x v="32"/>
    <x v="1"/>
    <x v="4"/>
    <n v="351"/>
    <n v="1755"/>
  </r>
  <r>
    <n v="932"/>
    <x v="931"/>
    <s v="CUST932"/>
    <x v="3"/>
    <x v="1"/>
    <x v="37"/>
    <x v="2"/>
    <x v="4"/>
    <n v="26"/>
    <n v="130"/>
  </r>
  <r>
    <n v="933"/>
    <x v="932"/>
    <s v="CUST933"/>
    <x v="1"/>
    <x v="1"/>
    <x v="0"/>
    <x v="1"/>
    <x v="4"/>
    <n v="389"/>
    <n v="1945"/>
  </r>
  <r>
    <n v="934"/>
    <x v="933"/>
    <s v="CUST934"/>
    <x v="3"/>
    <x v="1"/>
    <x v="0"/>
    <x v="1"/>
    <x v="0"/>
    <n v="99"/>
    <n v="297"/>
  </r>
  <r>
    <n v="935"/>
    <x v="934"/>
    <s v="CUST935"/>
    <x v="1"/>
    <x v="1"/>
    <x v="14"/>
    <x v="3"/>
    <x v="0"/>
    <n v="338"/>
    <n v="1014"/>
  </r>
  <r>
    <n v="936"/>
    <x v="935"/>
    <s v="CUST936"/>
    <x v="2"/>
    <x v="0"/>
    <x v="38"/>
    <x v="3"/>
    <x v="4"/>
    <n v="464"/>
    <n v="2320"/>
  </r>
  <r>
    <n v="937"/>
    <x v="936"/>
    <s v="CUST937"/>
    <x v="2"/>
    <x v="0"/>
    <x v="23"/>
    <x v="0"/>
    <x v="4"/>
    <n v="471"/>
    <n v="2355"/>
  </r>
  <r>
    <n v="938"/>
    <x v="937"/>
    <s v="CUST938"/>
    <x v="3"/>
    <x v="1"/>
    <x v="30"/>
    <x v="1"/>
    <x v="3"/>
    <n v="165"/>
    <n v="165"/>
  </r>
  <r>
    <n v="939"/>
    <x v="938"/>
    <s v="CUST939"/>
    <x v="0"/>
    <x v="0"/>
    <x v="29"/>
    <x v="1"/>
    <x v="2"/>
    <n v="196"/>
    <n v="392"/>
  </r>
  <r>
    <n v="940"/>
    <x v="939"/>
    <s v="CUST940"/>
    <x v="2"/>
    <x v="0"/>
    <x v="34"/>
    <x v="0"/>
    <x v="3"/>
    <n v="306"/>
    <n v="306"/>
  </r>
  <r>
    <n v="941"/>
    <x v="940"/>
    <s v="CUST941"/>
    <x v="3"/>
    <x v="0"/>
    <x v="5"/>
    <x v="1"/>
    <x v="1"/>
    <n v="395"/>
    <n v="1580"/>
  </r>
  <r>
    <n v="942"/>
    <x v="941"/>
    <s v="CUST942"/>
    <x v="1"/>
    <x v="1"/>
    <x v="22"/>
    <x v="1"/>
    <x v="3"/>
    <n v="184"/>
    <n v="184"/>
  </r>
  <r>
    <n v="943"/>
    <x v="942"/>
    <s v="CUST943"/>
    <x v="1"/>
    <x v="1"/>
    <x v="14"/>
    <x v="0"/>
    <x v="3"/>
    <n v="79"/>
    <n v="79"/>
  </r>
  <r>
    <n v="944"/>
    <x v="943"/>
    <s v="CUST944"/>
    <x v="3"/>
    <x v="0"/>
    <x v="25"/>
    <x v="0"/>
    <x v="2"/>
    <n v="185"/>
    <n v="370"/>
  </r>
  <r>
    <n v="945"/>
    <x v="944"/>
    <s v="CUST945"/>
    <x v="0"/>
    <x v="0"/>
    <x v="17"/>
    <x v="0"/>
    <x v="3"/>
    <n v="90"/>
    <n v="90"/>
  </r>
  <r>
    <n v="946"/>
    <x v="945"/>
    <s v="CUST946"/>
    <x v="3"/>
    <x v="1"/>
    <x v="14"/>
    <x v="0"/>
    <x v="0"/>
    <n v="452"/>
    <n v="1356"/>
  </r>
  <r>
    <n v="947"/>
    <x v="946"/>
    <s v="CUST947"/>
    <x v="3"/>
    <x v="1"/>
    <x v="11"/>
    <x v="2"/>
    <x v="0"/>
    <n v="421"/>
    <n v="1263"/>
  </r>
  <r>
    <n v="948"/>
    <x v="947"/>
    <s v="CUST948"/>
    <x v="2"/>
    <x v="0"/>
    <x v="38"/>
    <x v="3"/>
    <x v="4"/>
    <n v="354"/>
    <n v="1770"/>
  </r>
  <r>
    <n v="949"/>
    <x v="948"/>
    <s v="CUST949"/>
    <x v="3"/>
    <x v="0"/>
    <x v="16"/>
    <x v="0"/>
    <x v="4"/>
    <n v="84"/>
    <n v="420"/>
  </r>
  <r>
    <n v="950"/>
    <x v="949"/>
    <s v="CUST950"/>
    <x v="3"/>
    <x v="1"/>
    <x v="35"/>
    <x v="4"/>
    <x v="0"/>
    <n v="315"/>
    <n v="945"/>
  </r>
  <r>
    <n v="951"/>
    <x v="950"/>
    <s v="CUST951"/>
    <x v="1"/>
    <x v="0"/>
    <x v="40"/>
    <x v="1"/>
    <x v="0"/>
    <n v="296"/>
    <n v="888"/>
  </r>
  <r>
    <n v="952"/>
    <x v="951"/>
    <s v="CUST952"/>
    <x v="2"/>
    <x v="1"/>
    <x v="23"/>
    <x v="2"/>
    <x v="1"/>
    <n v="458"/>
    <n v="1832"/>
  </r>
  <r>
    <n v="953"/>
    <x v="952"/>
    <s v="CUST953"/>
    <x v="1"/>
    <x v="0"/>
    <x v="27"/>
    <x v="2"/>
    <x v="0"/>
    <n v="374"/>
    <n v="1122"/>
  </r>
  <r>
    <n v="954"/>
    <x v="953"/>
    <s v="CUST954"/>
    <x v="1"/>
    <x v="0"/>
    <x v="27"/>
    <x v="4"/>
    <x v="2"/>
    <n v="244"/>
    <n v="488"/>
  </r>
  <r>
    <n v="955"/>
    <x v="954"/>
    <s v="CUST955"/>
    <x v="0"/>
    <x v="0"/>
    <x v="14"/>
    <x v="0"/>
    <x v="4"/>
    <n v="365"/>
    <n v="1825"/>
  </r>
  <r>
    <n v="956"/>
    <x v="955"/>
    <s v="CUST956"/>
    <x v="0"/>
    <x v="1"/>
    <x v="12"/>
    <x v="2"/>
    <x v="0"/>
    <n v="209"/>
    <n v="627"/>
  </r>
  <r>
    <n v="957"/>
    <x v="956"/>
    <s v="CUST957"/>
    <x v="2"/>
    <x v="1"/>
    <x v="36"/>
    <x v="2"/>
    <x v="4"/>
    <n v="278"/>
    <n v="1390"/>
  </r>
  <r>
    <n v="958"/>
    <x v="957"/>
    <s v="CUST958"/>
    <x v="2"/>
    <x v="1"/>
    <x v="9"/>
    <x v="4"/>
    <x v="1"/>
    <n v="486"/>
    <n v="1944"/>
  </r>
  <r>
    <n v="959"/>
    <x v="958"/>
    <s v="CUST959"/>
    <x v="0"/>
    <x v="1"/>
    <x v="18"/>
    <x v="0"/>
    <x v="4"/>
    <n v="311"/>
    <n v="1555"/>
  </r>
  <r>
    <n v="960"/>
    <x v="959"/>
    <s v="CUST960"/>
    <x v="0"/>
    <x v="1"/>
    <x v="37"/>
    <x v="2"/>
    <x v="2"/>
    <n v="167"/>
    <n v="334"/>
  </r>
  <r>
    <n v="961"/>
    <x v="960"/>
    <s v="CUST961"/>
    <x v="0"/>
    <x v="1"/>
    <x v="13"/>
    <x v="1"/>
    <x v="0"/>
    <n v="159"/>
    <n v="477"/>
  </r>
  <r>
    <n v="962"/>
    <x v="961"/>
    <s v="CUST962"/>
    <x v="0"/>
    <x v="0"/>
    <x v="10"/>
    <x v="0"/>
    <x v="2"/>
    <n v="20"/>
    <n v="40"/>
  </r>
  <r>
    <n v="963"/>
    <x v="962"/>
    <s v="CUST963"/>
    <x v="0"/>
    <x v="0"/>
    <x v="41"/>
    <x v="0"/>
    <x v="2"/>
    <n v="495"/>
    <n v="990"/>
  </r>
  <r>
    <n v="964"/>
    <x v="963"/>
    <s v="CUST964"/>
    <x v="1"/>
    <x v="0"/>
    <x v="19"/>
    <x v="3"/>
    <x v="0"/>
    <n v="171"/>
    <n v="513"/>
  </r>
  <r>
    <n v="965"/>
    <x v="964"/>
    <s v="CUST965"/>
    <x v="2"/>
    <x v="0"/>
    <x v="16"/>
    <x v="0"/>
    <x v="2"/>
    <n v="151"/>
    <n v="302"/>
  </r>
  <r>
    <n v="966"/>
    <x v="965"/>
    <s v="CUST966"/>
    <x v="1"/>
    <x v="0"/>
    <x v="0"/>
    <x v="4"/>
    <x v="3"/>
    <n v="180"/>
    <n v="180"/>
  </r>
  <r>
    <n v="967"/>
    <x v="966"/>
    <s v="CUST967"/>
    <x v="1"/>
    <x v="1"/>
    <x v="6"/>
    <x v="0"/>
    <x v="1"/>
    <n v="107"/>
    <n v="428"/>
  </r>
  <r>
    <n v="968"/>
    <x v="967"/>
    <s v="CUST968"/>
    <x v="3"/>
    <x v="1"/>
    <x v="37"/>
    <x v="1"/>
    <x v="1"/>
    <n v="491"/>
    <n v="1964"/>
  </r>
  <r>
    <n v="969"/>
    <x v="968"/>
    <s v="CUST969"/>
    <x v="1"/>
    <x v="1"/>
    <x v="42"/>
    <x v="1"/>
    <x v="2"/>
    <n v="106"/>
    <n v="212"/>
  </r>
  <r>
    <n v="970"/>
    <x v="969"/>
    <s v="CUST970"/>
    <x v="0"/>
    <x v="1"/>
    <x v="31"/>
    <x v="4"/>
    <x v="2"/>
    <n v="259"/>
    <n v="518"/>
  </r>
  <r>
    <n v="971"/>
    <x v="970"/>
    <s v="CUST971"/>
    <x v="0"/>
    <x v="1"/>
    <x v="19"/>
    <x v="4"/>
    <x v="2"/>
    <n v="399"/>
    <n v="798"/>
  </r>
  <r>
    <n v="972"/>
    <x v="971"/>
    <s v="CUST972"/>
    <x v="3"/>
    <x v="0"/>
    <x v="22"/>
    <x v="1"/>
    <x v="1"/>
    <n v="256"/>
    <n v="1024"/>
  </r>
  <r>
    <n v="973"/>
    <x v="972"/>
    <s v="CUST973"/>
    <x v="3"/>
    <x v="0"/>
    <x v="24"/>
    <x v="3"/>
    <x v="3"/>
    <n v="384"/>
    <n v="384"/>
  </r>
  <r>
    <n v="974"/>
    <x v="973"/>
    <s v="CUST974"/>
    <x v="3"/>
    <x v="0"/>
    <x v="35"/>
    <x v="4"/>
    <x v="2"/>
    <n v="284"/>
    <n v="568"/>
  </r>
  <r>
    <n v="975"/>
    <x v="974"/>
    <s v="CUST975"/>
    <x v="3"/>
    <x v="1"/>
    <x v="40"/>
    <x v="4"/>
    <x v="0"/>
    <n v="20"/>
    <n v="60"/>
  </r>
  <r>
    <n v="976"/>
    <x v="975"/>
    <s v="CUST976"/>
    <x v="3"/>
    <x v="1"/>
    <x v="35"/>
    <x v="1"/>
    <x v="0"/>
    <n v="386"/>
    <n v="1158"/>
  </r>
  <r>
    <n v="977"/>
    <x v="976"/>
    <s v="CUST977"/>
    <x v="1"/>
    <x v="0"/>
    <x v="7"/>
    <x v="3"/>
    <x v="0"/>
    <n v="47"/>
    <n v="141"/>
  </r>
  <r>
    <n v="978"/>
    <x v="977"/>
    <s v="CUST978"/>
    <x v="3"/>
    <x v="0"/>
    <x v="8"/>
    <x v="3"/>
    <x v="0"/>
    <n v="195"/>
    <n v="585"/>
  </r>
  <r>
    <n v="979"/>
    <x v="978"/>
    <s v="CUST979"/>
    <x v="1"/>
    <x v="0"/>
    <x v="20"/>
    <x v="4"/>
    <x v="4"/>
    <n v="56"/>
    <n v="280"/>
  </r>
  <r>
    <n v="980"/>
    <x v="979"/>
    <s v="CUST980"/>
    <x v="2"/>
    <x v="1"/>
    <x v="7"/>
    <x v="2"/>
    <x v="4"/>
    <n v="247"/>
    <n v="1235"/>
  </r>
  <r>
    <n v="981"/>
    <x v="980"/>
    <s v="CUST981"/>
    <x v="3"/>
    <x v="1"/>
    <x v="26"/>
    <x v="2"/>
    <x v="3"/>
    <n v="190"/>
    <n v="190"/>
  </r>
  <r>
    <n v="982"/>
    <x v="981"/>
    <s v="CUST982"/>
    <x v="3"/>
    <x v="0"/>
    <x v="31"/>
    <x v="1"/>
    <x v="2"/>
    <n v="220"/>
    <n v="440"/>
  </r>
  <r>
    <n v="983"/>
    <x v="982"/>
    <s v="CUST983"/>
    <x v="1"/>
    <x v="0"/>
    <x v="24"/>
    <x v="0"/>
    <x v="3"/>
    <n v="312"/>
    <n v="312"/>
  </r>
  <r>
    <n v="984"/>
    <x v="983"/>
    <s v="CUST984"/>
    <x v="2"/>
    <x v="0"/>
    <x v="9"/>
    <x v="3"/>
    <x v="3"/>
    <n v="371"/>
    <n v="371"/>
  </r>
  <r>
    <n v="985"/>
    <x v="984"/>
    <s v="CUST985"/>
    <x v="1"/>
    <x v="0"/>
    <x v="40"/>
    <x v="0"/>
    <x v="3"/>
    <n v="87"/>
    <n v="87"/>
  </r>
  <r>
    <n v="986"/>
    <x v="985"/>
    <s v="CUST986"/>
    <x v="1"/>
    <x v="0"/>
    <x v="17"/>
    <x v="4"/>
    <x v="2"/>
    <n v="397"/>
    <n v="794"/>
  </r>
  <r>
    <n v="987"/>
    <x v="986"/>
    <s v="CUST987"/>
    <x v="3"/>
    <x v="1"/>
    <x v="34"/>
    <x v="0"/>
    <x v="3"/>
    <n v="25"/>
    <n v="25"/>
  </r>
  <r>
    <n v="988"/>
    <x v="987"/>
    <s v="CUST988"/>
    <x v="0"/>
    <x v="0"/>
    <x v="17"/>
    <x v="2"/>
    <x v="2"/>
    <n v="401"/>
    <n v="802"/>
  </r>
  <r>
    <n v="989"/>
    <x v="988"/>
    <s v="CUST989"/>
    <x v="0"/>
    <x v="1"/>
    <x v="32"/>
    <x v="1"/>
    <x v="2"/>
    <n v="338"/>
    <n v="676"/>
  </r>
  <r>
    <n v="990"/>
    <x v="989"/>
    <s v="CUST990"/>
    <x v="1"/>
    <x v="1"/>
    <x v="18"/>
    <x v="1"/>
    <x v="2"/>
    <n v="92"/>
    <n v="184"/>
  </r>
  <r>
    <n v="991"/>
    <x v="990"/>
    <s v="CUST991"/>
    <x v="3"/>
    <x v="0"/>
    <x v="15"/>
    <x v="4"/>
    <x v="1"/>
    <n v="186"/>
    <n v="744"/>
  </r>
  <r>
    <n v="992"/>
    <x v="991"/>
    <s v="CUST992"/>
    <x v="2"/>
    <x v="1"/>
    <x v="40"/>
    <x v="1"/>
    <x v="3"/>
    <n v="311"/>
    <n v="311"/>
  </r>
  <r>
    <n v="993"/>
    <x v="992"/>
    <s v="CUST993"/>
    <x v="0"/>
    <x v="0"/>
    <x v="7"/>
    <x v="2"/>
    <x v="4"/>
    <n v="222"/>
    <n v="1110"/>
  </r>
  <r>
    <n v="994"/>
    <x v="993"/>
    <s v="CUST994"/>
    <x v="2"/>
    <x v="1"/>
    <x v="17"/>
    <x v="0"/>
    <x v="3"/>
    <n v="204"/>
    <n v="204"/>
  </r>
  <r>
    <n v="995"/>
    <x v="994"/>
    <s v="CUST995"/>
    <x v="0"/>
    <x v="0"/>
    <x v="2"/>
    <x v="3"/>
    <x v="1"/>
    <n v="453"/>
    <n v="1812"/>
  </r>
  <r>
    <n v="996"/>
    <x v="995"/>
    <s v="CUST996"/>
    <x v="3"/>
    <x v="1"/>
    <x v="34"/>
    <x v="4"/>
    <x v="3"/>
    <n v="149"/>
    <n v="149"/>
  </r>
  <r>
    <n v="997"/>
    <x v="996"/>
    <s v="CUST997"/>
    <x v="1"/>
    <x v="1"/>
    <x v="33"/>
    <x v="3"/>
    <x v="0"/>
    <n v="189"/>
    <n v="567"/>
  </r>
  <r>
    <n v="998"/>
    <x v="997"/>
    <s v="CUST998"/>
    <x v="2"/>
    <x v="1"/>
    <x v="41"/>
    <x v="4"/>
    <x v="3"/>
    <n v="120"/>
    <n v="120"/>
  </r>
  <r>
    <n v="999"/>
    <x v="998"/>
    <s v="CUST999"/>
    <x v="2"/>
    <x v="0"/>
    <x v="4"/>
    <x v="1"/>
    <x v="3"/>
    <n v="444"/>
    <n v="444"/>
  </r>
  <r>
    <n v="1000"/>
    <x v="999"/>
    <s v="CUST1000"/>
    <x v="1"/>
    <x v="0"/>
    <x v="6"/>
    <x v="2"/>
    <x v="0"/>
    <n v="205"/>
    <n v="6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AE7DB5-7224-45A6-B3B1-DD52FB403261}"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B35" firstHeaderRow="1" firstDataRow="1" firstDataCol="1"/>
  <pivotFields count="1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2"/>
        <item x="0"/>
        <item x="1"/>
        <item x="4"/>
        <item t="default"/>
      </items>
    </pivotField>
    <pivotField showAll="0"/>
    <pivotField dataField="1" showAll="0"/>
  </pivotFields>
  <rowFields count="2">
    <field x="3"/>
    <field x="4"/>
  </rowFields>
  <rowItems count="13">
    <i>
      <x v="1"/>
    </i>
    <i r="1">
      <x/>
    </i>
    <i r="1">
      <x v="1"/>
    </i>
    <i>
      <x v="3"/>
    </i>
    <i r="1">
      <x v="1"/>
    </i>
    <i r="1">
      <x/>
    </i>
    <i>
      <x v="2"/>
    </i>
    <i r="1">
      <x/>
    </i>
    <i r="1">
      <x v="1"/>
    </i>
    <i>
      <x/>
    </i>
    <i r="1">
      <x/>
    </i>
    <i r="1">
      <x v="1"/>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4F79DA-BFF1-4F51-A211-7D6B371490FF}" name="PivotTable1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B4" firstHeaderRow="1" firstDataRow="1" firstDataCol="1"/>
  <pivotFields count="13">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3"/>
        <item x="2"/>
        <item x="0"/>
        <item x="1"/>
        <item t="default"/>
      </items>
    </pivotField>
    <pivotField axis="axisRow" showAll="0">
      <items count="3">
        <item x="1"/>
        <item x="0"/>
        <item t="default"/>
      </items>
    </pivotField>
    <pivotField showAll="0">
      <items count="44">
        <item x="23"/>
        <item x="5"/>
        <item x="37"/>
        <item x="18"/>
        <item x="9"/>
        <item x="13"/>
        <item x="15"/>
        <item x="34"/>
        <item x="0"/>
        <item x="25"/>
        <item x="38"/>
        <item x="4"/>
        <item x="16"/>
        <item x="8"/>
        <item x="36"/>
        <item x="22"/>
        <item x="10"/>
        <item x="11"/>
        <item x="12"/>
        <item x="21"/>
        <item x="31"/>
        <item x="6"/>
        <item x="2"/>
        <item x="1"/>
        <item x="30"/>
        <item x="7"/>
        <item x="19"/>
        <item x="27"/>
        <item x="42"/>
        <item x="17"/>
        <item x="33"/>
        <item x="29"/>
        <item x="24"/>
        <item x="41"/>
        <item x="32"/>
        <item x="35"/>
        <item x="14"/>
        <item x="26"/>
        <item x="28"/>
        <item x="39"/>
        <item x="3"/>
        <item x="40"/>
        <item x="20"/>
        <item t="default"/>
      </items>
    </pivotField>
    <pivotField showAll="0">
      <items count="6">
        <item x="0"/>
        <item x="2"/>
        <item x="4"/>
        <item x="3"/>
        <item x="1"/>
        <item t="default"/>
      </items>
    </pivotField>
    <pivotField dataField="1" showAll="0">
      <items count="6">
        <item x="3"/>
        <item x="2"/>
        <item x="0"/>
        <item x="1"/>
        <item x="4"/>
        <item t="default"/>
      </items>
    </pivotField>
    <pivotField showAll="0"/>
    <pivotField showAll="0"/>
    <pivotField showAll="0" defaultSubtotal="0"/>
    <pivotField showAll="0" defaultSubtotal="0"/>
    <pivotField showAll="0" defaultSubtotal="0">
      <items count="5">
        <item x="0"/>
        <item x="1"/>
        <item x="2"/>
        <item x="3"/>
        <item x="4"/>
      </items>
    </pivotField>
  </pivotFields>
  <rowFields count="1">
    <field x="4"/>
  </rowFields>
  <rowItems count="3">
    <i>
      <x/>
    </i>
    <i>
      <x v="1"/>
    </i>
    <i t="grand">
      <x/>
    </i>
  </rowItems>
  <colItems count="1">
    <i/>
  </colItems>
  <dataFields count="1">
    <dataField name="Sum of Quantity" fld="7" baseField="0" baseItem="0"/>
  </dataFields>
  <formats count="1">
    <format dxfId="0">
      <pivotArea dataOnly="0" labelOnly="1" fieldPosition="0">
        <references count="1">
          <reference field="4" count="1">
            <x v="1"/>
          </reference>
        </references>
      </pivotArea>
    </format>
  </format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510EBE-9727-47BA-BFEA-7CE3A264D2AD}"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0:B86" firstHeaderRow="1" firstDataRow="1" firstDataCol="1"/>
  <pivotFields count="10">
    <pivotField showAll="0"/>
    <pivotField showAll="0">
      <items count="323">
        <item x="4"/>
        <item x="147"/>
        <item x="260"/>
        <item x="177"/>
        <item x="184"/>
        <item x="117"/>
        <item x="224"/>
        <item x="83"/>
        <item x="48"/>
        <item x="65"/>
        <item x="290"/>
        <item x="292"/>
        <item x="12"/>
        <item x="217"/>
        <item x="116"/>
        <item x="112"/>
        <item x="180"/>
        <item x="30"/>
        <item x="315"/>
        <item x="223"/>
        <item x="28"/>
        <item x="77"/>
        <item x="269"/>
        <item x="274"/>
        <item x="114"/>
        <item x="294"/>
        <item x="107"/>
        <item x="285"/>
        <item x="119"/>
        <item x="211"/>
        <item x="136"/>
        <item x="207"/>
        <item x="47"/>
        <item x="55"/>
        <item x="164"/>
        <item x="298"/>
        <item x="171"/>
        <item x="300"/>
        <item x="1"/>
        <item x="169"/>
        <item x="160"/>
        <item x="53"/>
        <item x="41"/>
        <item x="46"/>
        <item x="257"/>
        <item x="68"/>
        <item x="128"/>
        <item x="25"/>
        <item x="31"/>
        <item x="110"/>
        <item x="287"/>
        <item x="75"/>
        <item x="312"/>
        <item x="14"/>
        <item x="101"/>
        <item x="219"/>
        <item x="303"/>
        <item x="313"/>
        <item x="89"/>
        <item x="78"/>
        <item x="239"/>
        <item x="242"/>
        <item x="82"/>
        <item x="203"/>
        <item x="168"/>
        <item x="167"/>
        <item x="9"/>
        <item x="280"/>
        <item x="52"/>
        <item x="49"/>
        <item x="103"/>
        <item x="210"/>
        <item x="10"/>
        <item x="297"/>
        <item x="67"/>
        <item x="51"/>
        <item x="317"/>
        <item x="130"/>
        <item x="149"/>
        <item x="193"/>
        <item x="275"/>
        <item x="131"/>
        <item x="179"/>
        <item x="29"/>
        <item x="54"/>
        <item x="226"/>
        <item x="44"/>
        <item x="58"/>
        <item x="15"/>
        <item x="80"/>
        <item x="291"/>
        <item x="265"/>
        <item x="151"/>
        <item x="40"/>
        <item x="17"/>
        <item x="253"/>
        <item x="190"/>
        <item x="120"/>
        <item x="296"/>
        <item x="155"/>
        <item x="261"/>
        <item x="57"/>
        <item x="254"/>
        <item x="20"/>
        <item x="277"/>
        <item x="234"/>
        <item x="206"/>
        <item x="222"/>
        <item x="142"/>
        <item x="23"/>
        <item x="92"/>
        <item x="192"/>
        <item x="113"/>
        <item x="61"/>
        <item x="318"/>
        <item x="321"/>
        <item x="104"/>
        <item x="81"/>
        <item x="305"/>
        <item x="279"/>
        <item x="241"/>
        <item x="5"/>
        <item x="166"/>
        <item x="230"/>
        <item x="319"/>
        <item x="73"/>
        <item x="18"/>
        <item x="311"/>
        <item x="170"/>
        <item x="320"/>
        <item x="181"/>
        <item x="302"/>
        <item x="145"/>
        <item x="237"/>
        <item x="175"/>
        <item x="106"/>
        <item x="263"/>
        <item x="288"/>
        <item x="250"/>
        <item x="256"/>
        <item x="8"/>
        <item x="11"/>
        <item x="163"/>
        <item x="271"/>
        <item x="7"/>
        <item x="262"/>
        <item x="301"/>
        <item x="278"/>
        <item x="202"/>
        <item x="2"/>
        <item x="244"/>
        <item x="63"/>
        <item x="109"/>
        <item x="140"/>
        <item x="306"/>
        <item x="84"/>
        <item x="90"/>
        <item x="137"/>
        <item x="204"/>
        <item x="272"/>
        <item x="3"/>
        <item x="0"/>
        <item x="197"/>
        <item x="124"/>
        <item x="293"/>
        <item x="39"/>
        <item x="88"/>
        <item x="282"/>
        <item x="97"/>
        <item x="273"/>
        <item x="135"/>
        <item x="102"/>
        <item x="19"/>
        <item x="56"/>
        <item x="249"/>
        <item x="266"/>
        <item x="188"/>
        <item x="243"/>
        <item x="144"/>
        <item x="76"/>
        <item x="95"/>
        <item x="213"/>
        <item x="196"/>
        <item x="309"/>
        <item x="218"/>
        <item x="299"/>
        <item x="13"/>
        <item x="316"/>
        <item x="86"/>
        <item x="235"/>
        <item x="139"/>
        <item x="100"/>
        <item x="153"/>
        <item x="152"/>
        <item x="16"/>
        <item x="205"/>
        <item x="38"/>
        <item x="74"/>
        <item x="172"/>
        <item x="91"/>
        <item x="121"/>
        <item x="248"/>
        <item x="227"/>
        <item x="111"/>
        <item x="281"/>
        <item x="264"/>
        <item x="178"/>
        <item x="246"/>
        <item x="283"/>
        <item x="148"/>
        <item x="189"/>
        <item x="225"/>
        <item x="252"/>
        <item x="21"/>
        <item x="50"/>
        <item x="94"/>
        <item x="6"/>
        <item x="24"/>
        <item x="43"/>
        <item x="238"/>
        <item x="36"/>
        <item x="176"/>
        <item x="310"/>
        <item x="143"/>
        <item x="70"/>
        <item x="42"/>
        <item x="314"/>
        <item x="37"/>
        <item x="191"/>
        <item x="127"/>
        <item x="129"/>
        <item x="212"/>
        <item x="126"/>
        <item x="26"/>
        <item x="98"/>
        <item x="231"/>
        <item x="27"/>
        <item x="304"/>
        <item x="122"/>
        <item x="79"/>
        <item x="208"/>
        <item x="99"/>
        <item x="308"/>
        <item x="185"/>
        <item x="60"/>
        <item x="186"/>
        <item x="150"/>
        <item x="62"/>
        <item x="159"/>
        <item x="87"/>
        <item x="64"/>
        <item x="236"/>
        <item x="93"/>
        <item x="162"/>
        <item x="69"/>
        <item x="267"/>
        <item x="286"/>
        <item x="240"/>
        <item x="174"/>
        <item x="229"/>
        <item x="251"/>
        <item x="187"/>
        <item x="146"/>
        <item x="289"/>
        <item x="209"/>
        <item x="216"/>
        <item x="200"/>
        <item x="66"/>
        <item x="228"/>
        <item x="247"/>
        <item x="232"/>
        <item x="133"/>
        <item x="195"/>
        <item x="183"/>
        <item x="108"/>
        <item x="156"/>
        <item x="32"/>
        <item x="138"/>
        <item x="284"/>
        <item x="214"/>
        <item x="161"/>
        <item x="59"/>
        <item x="132"/>
        <item x="215"/>
        <item x="154"/>
        <item x="45"/>
        <item x="35"/>
        <item x="259"/>
        <item x="165"/>
        <item x="141"/>
        <item x="201"/>
        <item x="115"/>
        <item x="72"/>
        <item x="276"/>
        <item x="258"/>
        <item x="220"/>
        <item x="71"/>
        <item x="158"/>
        <item x="199"/>
        <item x="255"/>
        <item x="105"/>
        <item x="134"/>
        <item x="125"/>
        <item x="198"/>
        <item x="22"/>
        <item x="118"/>
        <item x="33"/>
        <item x="268"/>
        <item x="295"/>
        <item x="34"/>
        <item x="194"/>
        <item x="123"/>
        <item x="233"/>
        <item x="96"/>
        <item x="221"/>
        <item x="270"/>
        <item x="245"/>
        <item x="307"/>
        <item x="182"/>
        <item x="157"/>
        <item x="173"/>
        <item x="85"/>
        <item t="default"/>
      </items>
    </pivotField>
    <pivotField showAll="0"/>
    <pivotField showAll="0">
      <items count="5">
        <item x="3"/>
        <item x="2"/>
        <item x="0"/>
        <item x="1"/>
        <item t="default"/>
      </items>
    </pivotField>
    <pivotField showAll="0">
      <items count="3">
        <item x="1"/>
        <item x="0"/>
        <item t="default"/>
      </items>
    </pivotField>
    <pivotField showAll="0"/>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dataField="1" showAll="0">
      <items count="6">
        <item x="3"/>
        <item x="2"/>
        <item x="0"/>
        <item x="1"/>
        <item x="4"/>
        <item t="default"/>
      </items>
    </pivotField>
    <pivotField showAll="0"/>
    <pivotField showAll="0"/>
  </pivotFields>
  <rowFields count="1">
    <field x="6"/>
  </rowFields>
  <rowItems count="6">
    <i>
      <x/>
    </i>
    <i>
      <x v="2"/>
    </i>
    <i>
      <x v="4"/>
    </i>
    <i>
      <x v="1"/>
    </i>
    <i>
      <x v="3"/>
    </i>
    <i t="grand">
      <x/>
    </i>
  </rowItems>
  <colItems count="1">
    <i/>
  </colItems>
  <dataFields count="1">
    <dataField name="Sum of Quantity" fld="7" baseField="0" baseItem="0"/>
  </dataFields>
  <chartFormats count="18">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6" count="1" selected="0">
            <x v="0"/>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4"/>
          </reference>
        </references>
      </pivotArea>
    </chartFormat>
    <chartFormat chart="3" format="5">
      <pivotArea type="data" outline="0" fieldPosition="0">
        <references count="2">
          <reference field="4294967294" count="1" selected="0">
            <x v="0"/>
          </reference>
          <reference field="6" count="1" selected="0">
            <x v="1"/>
          </reference>
        </references>
      </pivotArea>
    </chartFormat>
    <chartFormat chart="3" format="6">
      <pivotArea type="data" outline="0" fieldPosition="0">
        <references count="2">
          <reference field="4294967294" count="1" selected="0">
            <x v="0"/>
          </reference>
          <reference field="6" count="1" selected="0">
            <x v="3"/>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6" count="1" selected="0">
            <x v="0"/>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4"/>
          </reference>
        </references>
      </pivotArea>
    </chartFormat>
    <chartFormat chart="4" format="11">
      <pivotArea type="data" outline="0" fieldPosition="0">
        <references count="2">
          <reference field="4294967294" count="1" selected="0">
            <x v="0"/>
          </reference>
          <reference field="6" count="1" selected="0">
            <x v="1"/>
          </reference>
        </references>
      </pivotArea>
    </chartFormat>
    <chartFormat chart="4" format="12">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4"/>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0"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BE9C46-2880-4293-97E5-AF3E622D82A8}"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4:B77" firstHeaderRow="1" firstDataRow="1" firstDataCol="1"/>
  <pivotFields count="13">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3"/>
        <item x="2"/>
        <item x="0"/>
        <item x="1"/>
        <item t="default"/>
      </items>
    </pivotField>
    <pivotField showAll="0">
      <items count="3">
        <item x="1"/>
        <item x="0"/>
        <item t="default"/>
      </items>
    </pivotField>
    <pivotField showAll="0">
      <items count="44">
        <item x="23"/>
        <item x="5"/>
        <item x="37"/>
        <item x="18"/>
        <item x="9"/>
        <item x="13"/>
        <item x="15"/>
        <item x="34"/>
        <item x="0"/>
        <item x="25"/>
        <item x="38"/>
        <item x="4"/>
        <item x="16"/>
        <item x="8"/>
        <item x="36"/>
        <item x="22"/>
        <item x="10"/>
        <item x="11"/>
        <item x="12"/>
        <item x="21"/>
        <item x="31"/>
        <item x="6"/>
        <item x="2"/>
        <item x="1"/>
        <item x="30"/>
        <item x="7"/>
        <item x="19"/>
        <item x="27"/>
        <item x="42"/>
        <item x="17"/>
        <item x="33"/>
        <item x="29"/>
        <item x="24"/>
        <item x="41"/>
        <item x="32"/>
        <item x="35"/>
        <item x="14"/>
        <item x="26"/>
        <item x="28"/>
        <item x="39"/>
        <item x="3"/>
        <item x="40"/>
        <item x="20"/>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921BFA-1008-4552-9CB2-B61382C5ABFF}"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6:B62" firstHeaderRow="1" firstDataRow="1" firstDataCol="1"/>
  <pivotFields count="10">
    <pivotField showAll="0"/>
    <pivotField showAll="0"/>
    <pivotField showAll="0"/>
    <pivotField showAll="0"/>
    <pivotField showAll="0"/>
    <pivotField showAll="0"/>
    <pivotField axis="axisRow" showAll="0">
      <items count="6">
        <item x="0"/>
        <item x="2"/>
        <item x="4"/>
        <item x="3"/>
        <item x="1"/>
        <item t="default"/>
      </items>
    </pivotField>
    <pivotField showAll="0">
      <items count="6">
        <item x="3"/>
        <item x="2"/>
        <item x="0"/>
        <item x="1"/>
        <item x="4"/>
        <item t="default"/>
      </items>
    </pivotField>
    <pivotField showAll="0"/>
    <pivotField dataField="1" showAll="0"/>
  </pivotFields>
  <rowFields count="1">
    <field x="6"/>
  </rowFields>
  <rowItems count="6">
    <i>
      <x/>
    </i>
    <i>
      <x v="1"/>
    </i>
    <i>
      <x v="2"/>
    </i>
    <i>
      <x v="3"/>
    </i>
    <i>
      <x v="4"/>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A996DD4-BB3A-4A69-9295-6339085E1DF1}" sourceName="Age">
  <pivotTables>
    <pivotTable tabId="4" name="PivotTable12"/>
    <pivotTable tabId="4" name="PivotTable9"/>
  </pivotTables>
  <data>
    <tabular pivotCacheId="363775265">
      <items count="43">
        <i x="23" s="1"/>
        <i x="5" s="1"/>
        <i x="37" s="1"/>
        <i x="18" s="1"/>
        <i x="9" s="1"/>
        <i x="13" s="1"/>
        <i x="15" s="1"/>
        <i x="34" s="1"/>
        <i x="0" s="1"/>
        <i x="25" s="1"/>
        <i x="38" s="1"/>
        <i x="4" s="1"/>
        <i x="16" s="1"/>
        <i x="8" s="1"/>
        <i x="36" s="1"/>
        <i x="22" s="1"/>
        <i x="10" s="1"/>
        <i x="11" s="1"/>
        <i x="12" s="1"/>
        <i x="21" s="1"/>
        <i x="31" s="1"/>
        <i x="6" s="1"/>
        <i x="2" s="1"/>
        <i x="1" s="1"/>
        <i x="30" s="1"/>
        <i x="7" s="1"/>
        <i x="19" s="1"/>
        <i x="27" s="1"/>
        <i x="42" s="1"/>
        <i x="17" s="1"/>
        <i x="33" s="1"/>
        <i x="29" s="1"/>
        <i x="24" s="1"/>
        <i x="41" s="1"/>
        <i x="32" s="1"/>
        <i x="35" s="1"/>
        <i x="14" s="1"/>
        <i x="26" s="1"/>
        <i x="28" s="1"/>
        <i x="39" s="1"/>
        <i x="3" s="1"/>
        <i x="40" s="1"/>
        <i x="2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95B050E-B3C6-4345-8783-24559DC56E1E}" sourceName="Product Category">
  <pivotTables>
    <pivotTable tabId="4" name="PivotTable12"/>
  </pivotTables>
  <data>
    <tabular pivotCacheId="363775265">
      <items count="5">
        <i x="0" s="1"/>
        <i x="2"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80E3CF1B-14BD-4C6C-BEC9-912AD4DE73AD}" sourceName="Quantity">
  <pivotTables>
    <pivotTable tabId="4" name="PivotTable12"/>
  </pivotTables>
  <data>
    <tabular pivotCacheId="363775265">
      <items count="5">
        <i x="3" s="1"/>
        <i x="2"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02688D8-79FB-41B5-BDE7-61E73F69A233}" sourceName="Gender">
  <pivotTables>
    <pivotTable tabId="4" name="PivotTable12"/>
    <pivotTable tabId="4" name="PivotTable9"/>
  </pivotTables>
  <data>
    <tabular pivotCacheId="363775265">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145C073-2CA9-4187-B5C2-0E4935DA7070}" sourceName="SalesPerson ">
  <pivotTables>
    <pivotTable tabId="4" name="PivotTable12"/>
    <pivotTable tabId="4" name="PivotTable9"/>
  </pivotTables>
  <data>
    <tabular pivotCacheId="363775265">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2D1D1426-18A1-4B16-985E-C178D14A84D6}" cache="Slicer_Age" caption="Age" columnCount="4" style="SlicerStyleLight6" rowHeight="234950"/>
  <slicer name="Product Category 1" xr10:uid="{E6CB2949-6A1C-4132-83DF-85949947E20C}" cache="Slicer_Product_Category" caption="Product Category" columnCount="2" style="SlicerStyleLight6" rowHeight="234950"/>
  <slicer name="Quantity 1" xr10:uid="{1C7E826A-0914-4C0C-8815-9896B993B951}" cache="Slicer_Quantity" caption="Quantity" columnCount="3" style="SlicerStyleLight6" rowHeight="234950"/>
  <slicer name="Gender 1" xr10:uid="{9A503042-2ABC-4E0E-B5FA-E89362344F3C}" cache="Slicer_Gender" caption="Gender" columnCount="2" style="SlicerStyleLight6" rowHeight="234950"/>
  <slicer name="SalesPerson  1" xr10:uid="{851FD4A1-6BDF-4C69-B02C-6B2B6F270632}" cache="Slicer_SalesPerson" caption="SalesPerson " columnCount="2"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46DE0AD2-A1B8-4604-A952-B62702BBEA45}" cache="Slicer_Age" caption="Age" rowHeight="234950"/>
  <slicer name="Product Category" xr10:uid="{139E464C-BC01-43AA-B056-DA44CC93D4E1}" cache="Slicer_Product_Category" caption="Product Category" rowHeight="234950"/>
  <slicer name="Quantity" xr10:uid="{8F15AC4B-CC33-4B6D-9F6A-D2A705320532}" cache="Slicer_Quantity" caption="Quantity" rowHeight="234950"/>
  <slicer name="Gender" xr10:uid="{4CDECBD8-1158-48AA-9E80-062A13A1DFE7}" cache="Slicer_Gender" caption="Gender" rowHeight="234950"/>
  <slicer name="SalesPerson " xr10:uid="{43DF0189-353F-485F-A2B6-00F04B58903F}" cache="Slicer_SalesPerson" caption="SalesPerson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D2C23C-8232-45E5-96F0-5D624FBAD8DF}" name="Sales" displayName="Sales" ref="A1:J1001" totalsRowShown="0">
  <autoFilter ref="A1:J1001" xr:uid="{2AD2C23C-8232-45E5-96F0-5D624FBAD8DF}"/>
  <tableColumns count="10">
    <tableColumn id="1" xr3:uid="{702E4527-8D73-48FA-9EDF-44456F2CBF49}" name="Transaction ID"/>
    <tableColumn id="2" xr3:uid="{EE835255-AD4B-4EBD-BC46-8EA7D4E3A3C5}" name="Date" dataDxfId="16"/>
    <tableColumn id="3" xr3:uid="{4056FACE-8087-4424-903A-F4A2FC1ED239}" name="Customer ID"/>
    <tableColumn id="4" xr3:uid="{7591A00E-A556-4514-9A73-3863C30EFA68}" name="SalesPerson "/>
    <tableColumn id="5" xr3:uid="{CB535F9E-E5B6-4417-88CD-98B9D57F1839}" name="Gender"/>
    <tableColumn id="6" xr3:uid="{4ACCE445-E33E-4F84-8F1A-0A1776267CA1}" name="Age"/>
    <tableColumn id="7" xr3:uid="{B842CFE5-614B-47D7-B89D-1561DDFA2215}" name="Product Category"/>
    <tableColumn id="8" xr3:uid="{5EA8B3EC-11D1-47DC-A91F-41BF642D7FE7}" name="Quantity"/>
    <tableColumn id="9" xr3:uid="{489495AD-54A2-415A-993F-7D3C5458F72B}" name="Price per Unit"/>
    <tableColumn id="10" xr3:uid="{66E71C38-C5F1-47A5-B9EF-602F21BF7D0A}" name="Total 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50F0A40-7448-462F-9423-28C17AFE84B4}" name="sal" displayName="sal" ref="A1:J1001" totalsRowShown="0" headerRowDxfId="15" dataDxfId="13" headerRowBorderDxfId="14" tableBorderDxfId="12" totalsRowBorderDxfId="11">
  <autoFilter ref="A1:J1001" xr:uid="{250F0A40-7448-462F-9423-28C17AFE84B4}"/>
  <tableColumns count="10">
    <tableColumn id="1" xr3:uid="{33CBEBD6-96FB-4B17-8FBA-8CF3FAA5DE98}" name="Transaction ID" dataDxfId="10"/>
    <tableColumn id="2" xr3:uid="{DFBF0622-6B04-4DC7-B10A-F8B8A4D9B7D2}" name="Date" dataDxfId="9"/>
    <tableColumn id="3" xr3:uid="{AA9D00E1-535B-4E5D-BD4E-93FBAB5A8C05}" name="Customer ID" dataDxfId="8"/>
    <tableColumn id="4" xr3:uid="{A624FCEA-2E42-4D28-A18A-CD8BD2103396}" name="SalesPerson " dataDxfId="7"/>
    <tableColumn id="5" xr3:uid="{A570CFFE-16A6-433F-87D3-899F5721AC5D}" name="Gender" dataDxfId="6"/>
    <tableColumn id="6" xr3:uid="{8BA91470-C341-4E77-912B-873DB6DDB3FE}" name="Age" dataDxfId="5"/>
    <tableColumn id="7" xr3:uid="{9FA55095-347B-48B6-8CB7-6912B2271D49}" name="Product Category" dataDxfId="4"/>
    <tableColumn id="8" xr3:uid="{62B21F53-DAA3-4241-97CF-A139D552C2A8}" name="Quantity" dataDxfId="3"/>
    <tableColumn id="9" xr3:uid="{E4A16783-105D-4CE5-BE24-61294A277053}" name="Price per Unit" dataDxfId="2"/>
    <tableColumn id="10" xr3:uid="{C547D44C-BA37-4402-8B92-7C088CC7655A}" name="Total Amount"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5DD4DC4-ACD7-491F-97DD-2D1871C8EDB2}" sourceName="Date">
  <pivotTables>
    <pivotTable tabId="4" name="PivotTable12"/>
  </pivotTables>
  <state minimalRefreshVersion="6" lastRefreshVersion="6" pivotCacheId="36377526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2BE76AC-AE61-4BB7-9B35-C773F4810AAA}" cache="NativeTimeline_Date" caption="Date" showSelectionLabel="0" level="2" selectionLevel="2" scrollPosition="2023-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0B997C3-C821-4E65-A047-BD21D27A9AB2}" cache="NativeTimeline_Date" caption="Date" level="2" selectionLevel="2" scrollPosition="2025-06-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51D01-DAE5-4D61-B8D8-7CA0F7B55BE3}">
  <dimension ref="E5:S8"/>
  <sheetViews>
    <sheetView showGridLines="0" tabSelected="1" zoomScale="70" zoomScaleNormal="70" workbookViewId="0">
      <selection activeCell="D7" sqref="D7"/>
    </sheetView>
  </sheetViews>
  <sheetFormatPr defaultRowHeight="14.4" x14ac:dyDescent="0.3"/>
  <cols>
    <col min="8" max="8" width="7.44140625" customWidth="1"/>
    <col min="9" max="9" width="15.109375" customWidth="1"/>
    <col min="11" max="11" width="13.33203125" customWidth="1"/>
    <col min="13" max="13" width="14.88671875" customWidth="1"/>
    <col min="15" max="15" width="17.109375" customWidth="1"/>
  </cols>
  <sheetData>
    <row r="5" spans="5:19" ht="15" thickBot="1" x14ac:dyDescent="0.35"/>
    <row r="6" spans="5:19" ht="15" thickBot="1" x14ac:dyDescent="0.35">
      <c r="E6" s="23" t="s">
        <v>12</v>
      </c>
      <c r="F6" s="24"/>
      <c r="G6" s="25"/>
      <c r="I6" s="23" t="s">
        <v>1045</v>
      </c>
      <c r="J6" s="24"/>
      <c r="K6" s="25"/>
      <c r="M6" s="23" t="s">
        <v>1044</v>
      </c>
      <c r="N6" s="24"/>
      <c r="O6" s="25"/>
      <c r="Q6" s="23" t="s">
        <v>1046</v>
      </c>
      <c r="R6" s="24"/>
      <c r="S6" s="25"/>
    </row>
    <row r="7" spans="5:19" ht="15" thickBot="1" x14ac:dyDescent="0.35">
      <c r="E7" s="23"/>
      <c r="F7" s="24"/>
      <c r="G7" s="25"/>
      <c r="I7" s="23"/>
      <c r="J7" s="24"/>
      <c r="K7" s="25"/>
      <c r="M7" s="23"/>
      <c r="N7" s="24"/>
      <c r="O7" s="25"/>
      <c r="Q7" s="23"/>
      <c r="R7" s="24"/>
      <c r="S7" s="25"/>
    </row>
    <row r="8" spans="5:19" ht="20.399999999999999" thickBot="1" x14ac:dyDescent="0.45">
      <c r="E8" s="26">
        <f>GETPIVOTDATA("Total Amount",'Pivot table'!$A$22)</f>
        <v>787297</v>
      </c>
      <c r="F8" s="27"/>
      <c r="G8" s="28"/>
      <c r="H8" s="22"/>
      <c r="I8" s="26" t="str">
        <f>'Pivot table'!A23</f>
        <v>Bob</v>
      </c>
      <c r="J8" s="27"/>
      <c r="K8" s="28"/>
      <c r="L8" s="22"/>
      <c r="M8" s="26" t="str">
        <f>'Pivot table'!A81</f>
        <v>Beauty</v>
      </c>
      <c r="N8" s="27"/>
      <c r="O8" s="28"/>
      <c r="P8" s="22"/>
      <c r="Q8" s="26">
        <f>GETPIVOTDATA("Quantity",'Pivot table'!$A$80)</f>
        <v>3011</v>
      </c>
      <c r="R8" s="27"/>
      <c r="S8" s="28"/>
    </row>
  </sheetData>
  <mergeCells count="8">
    <mergeCell ref="Q6:S7"/>
    <mergeCell ref="Q8:S8"/>
    <mergeCell ref="E6:G7"/>
    <mergeCell ref="E8:G8"/>
    <mergeCell ref="I6:K7"/>
    <mergeCell ref="I8:K8"/>
    <mergeCell ref="M6:O7"/>
    <mergeCell ref="M8:O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37E72-A382-4803-ACE0-125F9D051B25}">
  <dimension ref="A1:B87"/>
  <sheetViews>
    <sheetView zoomScale="55" zoomScaleNormal="63" workbookViewId="0">
      <selection activeCell="S29" sqref="S29"/>
    </sheetView>
  </sheetViews>
  <sheetFormatPr defaultRowHeight="14.4" x14ac:dyDescent="0.3"/>
  <cols>
    <col min="1" max="1" width="21.109375" bestFit="1" customWidth="1"/>
    <col min="2" max="2" width="25.77734375" bestFit="1" customWidth="1"/>
    <col min="25" max="25" width="13.21875" bestFit="1" customWidth="1"/>
    <col min="26" max="26" width="19.21875" bestFit="1" customWidth="1"/>
  </cols>
  <sheetData>
    <row r="1" spans="1:2" x14ac:dyDescent="0.3">
      <c r="A1" s="2" t="s">
        <v>1021</v>
      </c>
      <c r="B1" t="s">
        <v>1028</v>
      </c>
    </row>
    <row r="2" spans="1:2" x14ac:dyDescent="0.3">
      <c r="A2" s="3" t="s">
        <v>19</v>
      </c>
      <c r="B2" s="29">
        <v>1536</v>
      </c>
    </row>
    <row r="3" spans="1:2" x14ac:dyDescent="0.3">
      <c r="A3" s="30" t="s">
        <v>14</v>
      </c>
      <c r="B3" s="29">
        <v>1475</v>
      </c>
    </row>
    <row r="4" spans="1:2" x14ac:dyDescent="0.3">
      <c r="A4" s="3" t="s">
        <v>1022</v>
      </c>
      <c r="B4" s="29">
        <v>3011</v>
      </c>
    </row>
    <row r="21" spans="1:2" x14ac:dyDescent="0.3">
      <c r="A21" t="s">
        <v>1047</v>
      </c>
    </row>
    <row r="22" spans="1:2" x14ac:dyDescent="0.3">
      <c r="A22" s="2" t="s">
        <v>1021</v>
      </c>
      <c r="B22" t="s">
        <v>1023</v>
      </c>
    </row>
    <row r="23" spans="1:2" x14ac:dyDescent="0.3">
      <c r="A23" s="3" t="s">
        <v>3</v>
      </c>
      <c r="B23" s="29">
        <v>208908</v>
      </c>
    </row>
    <row r="24" spans="1:2" x14ac:dyDescent="0.3">
      <c r="A24" s="4" t="s">
        <v>19</v>
      </c>
      <c r="B24" s="29">
        <v>109963</v>
      </c>
    </row>
    <row r="25" spans="1:2" x14ac:dyDescent="0.3">
      <c r="A25" s="4" t="s">
        <v>14</v>
      </c>
      <c r="B25" s="29">
        <v>98945</v>
      </c>
    </row>
    <row r="26" spans="1:2" x14ac:dyDescent="0.3">
      <c r="A26" s="3" t="s">
        <v>2</v>
      </c>
      <c r="B26" s="29">
        <v>201086</v>
      </c>
    </row>
    <row r="27" spans="1:2" x14ac:dyDescent="0.3">
      <c r="A27" s="4" t="s">
        <v>14</v>
      </c>
      <c r="B27" s="29">
        <v>102898</v>
      </c>
    </row>
    <row r="28" spans="1:2" x14ac:dyDescent="0.3">
      <c r="A28" s="4" t="s">
        <v>19</v>
      </c>
      <c r="B28" s="29">
        <v>98188</v>
      </c>
    </row>
    <row r="29" spans="1:2" x14ac:dyDescent="0.3">
      <c r="A29" s="3" t="s">
        <v>1</v>
      </c>
      <c r="B29" s="29">
        <v>199323</v>
      </c>
    </row>
    <row r="30" spans="1:2" x14ac:dyDescent="0.3">
      <c r="A30" s="4" t="s">
        <v>19</v>
      </c>
      <c r="B30" s="29">
        <v>106065</v>
      </c>
    </row>
    <row r="31" spans="1:2" x14ac:dyDescent="0.3">
      <c r="A31" s="4" t="s">
        <v>14</v>
      </c>
      <c r="B31" s="29">
        <v>93258</v>
      </c>
    </row>
    <row r="32" spans="1:2" x14ac:dyDescent="0.3">
      <c r="A32" s="3" t="s">
        <v>4</v>
      </c>
      <c r="B32" s="29">
        <v>177980</v>
      </c>
    </row>
    <row r="33" spans="1:2" x14ac:dyDescent="0.3">
      <c r="A33" s="4" t="s">
        <v>19</v>
      </c>
      <c r="B33" s="29">
        <v>89235</v>
      </c>
    </row>
    <row r="34" spans="1:2" x14ac:dyDescent="0.3">
      <c r="A34" s="4" t="s">
        <v>14</v>
      </c>
      <c r="B34" s="29">
        <v>88745</v>
      </c>
    </row>
    <row r="35" spans="1:2" x14ac:dyDescent="0.3">
      <c r="A35" s="3" t="s">
        <v>1022</v>
      </c>
      <c r="B35" s="29">
        <v>787297</v>
      </c>
    </row>
    <row r="55" spans="1:2" x14ac:dyDescent="0.3">
      <c r="A55" t="s">
        <v>1029</v>
      </c>
    </row>
    <row r="56" spans="1:2" x14ac:dyDescent="0.3">
      <c r="A56" s="2" t="s">
        <v>1021</v>
      </c>
      <c r="B56" t="s">
        <v>1023</v>
      </c>
    </row>
    <row r="57" spans="1:2" x14ac:dyDescent="0.3">
      <c r="A57" s="3" t="s">
        <v>15</v>
      </c>
      <c r="B57" s="29">
        <v>173633</v>
      </c>
    </row>
    <row r="58" spans="1:2" x14ac:dyDescent="0.3">
      <c r="A58" s="3" t="s">
        <v>20</v>
      </c>
      <c r="B58" s="29">
        <v>141115</v>
      </c>
    </row>
    <row r="59" spans="1:2" x14ac:dyDescent="0.3">
      <c r="A59" s="3" t="s">
        <v>27</v>
      </c>
      <c r="B59" s="29">
        <v>176511</v>
      </c>
    </row>
    <row r="60" spans="1:2" x14ac:dyDescent="0.3">
      <c r="A60" s="3" t="s">
        <v>23</v>
      </c>
      <c r="B60" s="29">
        <v>129216</v>
      </c>
    </row>
    <row r="61" spans="1:2" x14ac:dyDescent="0.3">
      <c r="A61" s="3" t="s">
        <v>17</v>
      </c>
      <c r="B61" s="29">
        <v>166822</v>
      </c>
    </row>
    <row r="62" spans="1:2" x14ac:dyDescent="0.3">
      <c r="A62" s="3" t="s">
        <v>1022</v>
      </c>
      <c r="B62" s="29">
        <v>787297</v>
      </c>
    </row>
    <row r="64" spans="1:2" x14ac:dyDescent="0.3">
      <c r="A64" s="2" t="s">
        <v>1021</v>
      </c>
      <c r="B64" t="s">
        <v>1023</v>
      </c>
    </row>
    <row r="65" spans="1:2" x14ac:dyDescent="0.3">
      <c r="A65" s="3" t="s">
        <v>1030</v>
      </c>
      <c r="B65" s="29">
        <v>79045</v>
      </c>
    </row>
    <row r="66" spans="1:2" x14ac:dyDescent="0.3">
      <c r="A66" s="3" t="s">
        <v>1031</v>
      </c>
      <c r="B66" s="29">
        <v>73409</v>
      </c>
    </row>
    <row r="67" spans="1:2" x14ac:dyDescent="0.3">
      <c r="A67" s="3" t="s">
        <v>1032</v>
      </c>
      <c r="B67" s="29">
        <v>75584</v>
      </c>
    </row>
    <row r="68" spans="1:2" x14ac:dyDescent="0.3">
      <c r="A68" s="3" t="s">
        <v>1033</v>
      </c>
      <c r="B68" s="29">
        <v>74772</v>
      </c>
    </row>
    <row r="69" spans="1:2" x14ac:dyDescent="0.3">
      <c r="A69" s="3" t="s">
        <v>1034</v>
      </c>
      <c r="B69" s="29">
        <v>73887</v>
      </c>
    </row>
    <row r="70" spans="1:2" x14ac:dyDescent="0.3">
      <c r="A70" s="3" t="s">
        <v>1035</v>
      </c>
      <c r="B70" s="29">
        <v>63998</v>
      </c>
    </row>
    <row r="71" spans="1:2" x14ac:dyDescent="0.3">
      <c r="A71" s="3" t="s">
        <v>1036</v>
      </c>
      <c r="B71" s="29">
        <v>68543</v>
      </c>
    </row>
    <row r="72" spans="1:2" x14ac:dyDescent="0.3">
      <c r="A72" s="3" t="s">
        <v>1037</v>
      </c>
      <c r="B72" s="29">
        <v>76959</v>
      </c>
    </row>
    <row r="73" spans="1:2" x14ac:dyDescent="0.3">
      <c r="A73" s="3" t="s">
        <v>1038</v>
      </c>
      <c r="B73" s="29">
        <v>61100</v>
      </c>
    </row>
    <row r="74" spans="1:2" x14ac:dyDescent="0.3">
      <c r="A74" s="3" t="s">
        <v>1039</v>
      </c>
      <c r="B74" s="29">
        <v>46339</v>
      </c>
    </row>
    <row r="75" spans="1:2" x14ac:dyDescent="0.3">
      <c r="A75" s="3" t="s">
        <v>1040</v>
      </c>
      <c r="B75" s="29">
        <v>46192</v>
      </c>
    </row>
    <row r="76" spans="1:2" x14ac:dyDescent="0.3">
      <c r="A76" s="3" t="s">
        <v>1041</v>
      </c>
      <c r="B76" s="29">
        <v>47469</v>
      </c>
    </row>
    <row r="77" spans="1:2" x14ac:dyDescent="0.3">
      <c r="A77" s="3" t="s">
        <v>1022</v>
      </c>
      <c r="B77" s="29">
        <v>787297</v>
      </c>
    </row>
    <row r="78" spans="1:2" x14ac:dyDescent="0.3">
      <c r="A78" s="3" t="s">
        <v>1042</v>
      </c>
    </row>
    <row r="80" spans="1:2" x14ac:dyDescent="0.3">
      <c r="A80" s="2" t="s">
        <v>1021</v>
      </c>
      <c r="B80" t="s">
        <v>1028</v>
      </c>
    </row>
    <row r="81" spans="1:2" x14ac:dyDescent="0.3">
      <c r="A81" s="3" t="s">
        <v>15</v>
      </c>
      <c r="B81" s="29">
        <v>661</v>
      </c>
    </row>
    <row r="82" spans="1:2" x14ac:dyDescent="0.3">
      <c r="A82" s="3" t="s">
        <v>27</v>
      </c>
      <c r="B82" s="29">
        <v>645</v>
      </c>
    </row>
    <row r="83" spans="1:2" x14ac:dyDescent="0.3">
      <c r="A83" s="3" t="s">
        <v>17</v>
      </c>
      <c r="B83" s="29">
        <v>639</v>
      </c>
    </row>
    <row r="84" spans="1:2" x14ac:dyDescent="0.3">
      <c r="A84" s="3" t="s">
        <v>20</v>
      </c>
      <c r="B84" s="29">
        <v>540</v>
      </c>
    </row>
    <row r="85" spans="1:2" x14ac:dyDescent="0.3">
      <c r="A85" s="3" t="s">
        <v>23</v>
      </c>
      <c r="B85" s="29">
        <v>526</v>
      </c>
    </row>
    <row r="86" spans="1:2" x14ac:dyDescent="0.3">
      <c r="A86" s="3" t="s">
        <v>1022</v>
      </c>
      <c r="B86" s="29">
        <v>3011</v>
      </c>
    </row>
    <row r="87" spans="1:2" x14ac:dyDescent="0.3">
      <c r="A87" s="3" t="s">
        <v>1043</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0647-D0A5-4F37-AE62-80678EAF3C40}">
  <dimension ref="A1:J1001"/>
  <sheetViews>
    <sheetView workbookViewId="0">
      <selection activeCell="L6" sqref="L6"/>
    </sheetView>
  </sheetViews>
  <sheetFormatPr defaultRowHeight="14.4" x14ac:dyDescent="0.3"/>
  <cols>
    <col min="1" max="1" width="15.33203125" bestFit="1" customWidth="1"/>
    <col min="2" max="2" width="16.77734375" style="1" bestFit="1" customWidth="1"/>
    <col min="3" max="3" width="13.5546875" bestFit="1" customWidth="1"/>
    <col min="4" max="4" width="13.6640625" bestFit="1" customWidth="1"/>
    <col min="5" max="5" width="9.33203125" bestFit="1" customWidth="1"/>
    <col min="6" max="6" width="6.44140625" bestFit="1" customWidth="1"/>
    <col min="7" max="7" width="18" bestFit="1" customWidth="1"/>
    <col min="8" max="8" width="10.5546875" bestFit="1" customWidth="1"/>
    <col min="9" max="9" width="14.5546875" bestFit="1" customWidth="1"/>
    <col min="10" max="10" width="14.44140625" customWidth="1"/>
  </cols>
  <sheetData>
    <row r="1" spans="1:10" x14ac:dyDescent="0.3">
      <c r="A1" t="s">
        <v>5</v>
      </c>
      <c r="B1" s="1" t="s">
        <v>0</v>
      </c>
      <c r="C1" t="s">
        <v>6</v>
      </c>
      <c r="D1" t="s">
        <v>1020</v>
      </c>
      <c r="E1" t="s">
        <v>7</v>
      </c>
      <c r="F1" t="s">
        <v>8</v>
      </c>
      <c r="G1" t="s">
        <v>9</v>
      </c>
      <c r="H1" t="s">
        <v>10</v>
      </c>
      <c r="I1" t="s">
        <v>11</v>
      </c>
      <c r="J1" t="s">
        <v>12</v>
      </c>
    </row>
    <row r="2" spans="1:10" x14ac:dyDescent="0.3">
      <c r="A2">
        <v>1</v>
      </c>
      <c r="B2" s="1">
        <v>44927</v>
      </c>
      <c r="C2" t="s">
        <v>13</v>
      </c>
      <c r="D2" t="s">
        <v>1</v>
      </c>
      <c r="E2" t="s">
        <v>14</v>
      </c>
      <c r="F2">
        <v>26</v>
      </c>
      <c r="G2" t="s">
        <v>15</v>
      </c>
      <c r="H2">
        <v>3</v>
      </c>
      <c r="I2">
        <v>318</v>
      </c>
      <c r="J2">
        <v>954</v>
      </c>
    </row>
    <row r="3" spans="1:10" x14ac:dyDescent="0.3">
      <c r="A3">
        <v>2</v>
      </c>
      <c r="B3" s="1">
        <v>44928</v>
      </c>
      <c r="C3" t="s">
        <v>16</v>
      </c>
      <c r="D3" t="s">
        <v>2</v>
      </c>
      <c r="E3" t="s">
        <v>14</v>
      </c>
      <c r="F3">
        <v>41</v>
      </c>
      <c r="G3" t="s">
        <v>17</v>
      </c>
      <c r="H3">
        <v>3</v>
      </c>
      <c r="I3">
        <v>433</v>
      </c>
      <c r="J3">
        <v>1299</v>
      </c>
    </row>
    <row r="4" spans="1:10" x14ac:dyDescent="0.3">
      <c r="A4">
        <v>3</v>
      </c>
      <c r="B4" s="1">
        <v>44929</v>
      </c>
      <c r="C4" t="s">
        <v>18</v>
      </c>
      <c r="D4" t="s">
        <v>1</v>
      </c>
      <c r="E4" t="s">
        <v>19</v>
      </c>
      <c r="F4">
        <v>40</v>
      </c>
      <c r="G4" t="s">
        <v>20</v>
      </c>
      <c r="H4">
        <v>4</v>
      </c>
      <c r="I4">
        <v>424</v>
      </c>
      <c r="J4">
        <v>1696</v>
      </c>
    </row>
    <row r="5" spans="1:10" x14ac:dyDescent="0.3">
      <c r="A5">
        <v>4</v>
      </c>
      <c r="B5" s="1">
        <v>44930</v>
      </c>
      <c r="C5" t="s">
        <v>21</v>
      </c>
      <c r="D5" t="s">
        <v>2</v>
      </c>
      <c r="E5" t="s">
        <v>14</v>
      </c>
      <c r="F5">
        <v>58</v>
      </c>
      <c r="G5" t="s">
        <v>15</v>
      </c>
      <c r="H5">
        <v>2</v>
      </c>
      <c r="I5">
        <v>106</v>
      </c>
      <c r="J5">
        <v>212</v>
      </c>
    </row>
    <row r="6" spans="1:10" x14ac:dyDescent="0.3">
      <c r="A6">
        <v>5</v>
      </c>
      <c r="B6" s="1">
        <v>44931</v>
      </c>
      <c r="C6" t="s">
        <v>22</v>
      </c>
      <c r="D6" t="s">
        <v>2</v>
      </c>
      <c r="E6" t="s">
        <v>14</v>
      </c>
      <c r="F6">
        <v>29</v>
      </c>
      <c r="G6" t="s">
        <v>23</v>
      </c>
      <c r="H6">
        <v>1</v>
      </c>
      <c r="I6">
        <v>300</v>
      </c>
      <c r="J6">
        <v>300</v>
      </c>
    </row>
    <row r="7" spans="1:10" x14ac:dyDescent="0.3">
      <c r="A7">
        <v>6</v>
      </c>
      <c r="B7" s="1">
        <v>44932</v>
      </c>
      <c r="C7" t="s">
        <v>24</v>
      </c>
      <c r="D7" t="s">
        <v>1</v>
      </c>
      <c r="E7" t="s">
        <v>14</v>
      </c>
      <c r="F7">
        <v>19</v>
      </c>
      <c r="G7" t="s">
        <v>20</v>
      </c>
      <c r="H7">
        <v>4</v>
      </c>
      <c r="I7">
        <v>164</v>
      </c>
      <c r="J7">
        <v>656</v>
      </c>
    </row>
    <row r="8" spans="1:10" x14ac:dyDescent="0.3">
      <c r="A8">
        <v>7</v>
      </c>
      <c r="B8" s="1">
        <v>44933</v>
      </c>
      <c r="C8" t="s">
        <v>25</v>
      </c>
      <c r="D8" t="s">
        <v>3</v>
      </c>
      <c r="E8" t="s">
        <v>14</v>
      </c>
      <c r="F8">
        <v>39</v>
      </c>
      <c r="G8" t="s">
        <v>23</v>
      </c>
      <c r="H8">
        <v>3</v>
      </c>
      <c r="I8">
        <v>107</v>
      </c>
      <c r="J8">
        <v>321</v>
      </c>
    </row>
    <row r="9" spans="1:10" x14ac:dyDescent="0.3">
      <c r="A9">
        <v>8</v>
      </c>
      <c r="B9" s="1">
        <v>44934</v>
      </c>
      <c r="C9" t="s">
        <v>26</v>
      </c>
      <c r="D9" t="s">
        <v>2</v>
      </c>
      <c r="E9" t="s">
        <v>19</v>
      </c>
      <c r="F9">
        <v>29</v>
      </c>
      <c r="G9" t="s">
        <v>27</v>
      </c>
      <c r="H9">
        <v>5</v>
      </c>
      <c r="I9">
        <v>494</v>
      </c>
      <c r="J9">
        <v>2470</v>
      </c>
    </row>
    <row r="10" spans="1:10" x14ac:dyDescent="0.3">
      <c r="A10">
        <v>9</v>
      </c>
      <c r="B10" s="1">
        <v>44935</v>
      </c>
      <c r="C10" t="s">
        <v>28</v>
      </c>
      <c r="D10" t="s">
        <v>1</v>
      </c>
      <c r="E10" t="s">
        <v>14</v>
      </c>
      <c r="F10">
        <v>43</v>
      </c>
      <c r="G10" t="s">
        <v>27</v>
      </c>
      <c r="H10">
        <v>2</v>
      </c>
      <c r="I10">
        <v>143</v>
      </c>
      <c r="J10">
        <v>286</v>
      </c>
    </row>
    <row r="11" spans="1:10" x14ac:dyDescent="0.3">
      <c r="A11">
        <v>10</v>
      </c>
      <c r="B11" s="1">
        <v>44936</v>
      </c>
      <c r="C11" t="s">
        <v>29</v>
      </c>
      <c r="D11" t="s">
        <v>4</v>
      </c>
      <c r="E11" t="s">
        <v>14</v>
      </c>
      <c r="F11">
        <v>31</v>
      </c>
      <c r="G11" t="s">
        <v>17</v>
      </c>
      <c r="H11">
        <v>1</v>
      </c>
      <c r="I11">
        <v>295</v>
      </c>
      <c r="J11">
        <v>295</v>
      </c>
    </row>
    <row r="12" spans="1:10" x14ac:dyDescent="0.3">
      <c r="A12">
        <v>11</v>
      </c>
      <c r="B12" s="1">
        <v>44937</v>
      </c>
      <c r="C12" t="s">
        <v>30</v>
      </c>
      <c r="D12" t="s">
        <v>1</v>
      </c>
      <c r="E12" t="s">
        <v>14</v>
      </c>
      <c r="F12">
        <v>22</v>
      </c>
      <c r="G12" t="s">
        <v>15</v>
      </c>
      <c r="H12">
        <v>4</v>
      </c>
      <c r="I12">
        <v>292</v>
      </c>
      <c r="J12">
        <v>1168</v>
      </c>
    </row>
    <row r="13" spans="1:10" x14ac:dyDescent="0.3">
      <c r="A13">
        <v>12</v>
      </c>
      <c r="B13" s="1">
        <v>44938</v>
      </c>
      <c r="C13" t="s">
        <v>31</v>
      </c>
      <c r="D13" t="s">
        <v>4</v>
      </c>
      <c r="E13" t="s">
        <v>19</v>
      </c>
      <c r="F13">
        <v>26</v>
      </c>
      <c r="G13" t="s">
        <v>20</v>
      </c>
      <c r="H13">
        <v>2</v>
      </c>
      <c r="I13">
        <v>443</v>
      </c>
      <c r="J13">
        <v>886</v>
      </c>
    </row>
    <row r="14" spans="1:10" x14ac:dyDescent="0.3">
      <c r="A14">
        <v>13</v>
      </c>
      <c r="B14" s="1">
        <v>44939</v>
      </c>
      <c r="C14" t="s">
        <v>32</v>
      </c>
      <c r="D14" t="s">
        <v>2</v>
      </c>
      <c r="E14" t="s">
        <v>14</v>
      </c>
      <c r="F14">
        <v>34</v>
      </c>
      <c r="G14" t="s">
        <v>15</v>
      </c>
      <c r="H14">
        <v>4</v>
      </c>
      <c r="I14">
        <v>411</v>
      </c>
      <c r="J14">
        <v>1644</v>
      </c>
    </row>
    <row r="15" spans="1:10" x14ac:dyDescent="0.3">
      <c r="A15">
        <v>14</v>
      </c>
      <c r="B15" s="1">
        <v>44940</v>
      </c>
      <c r="C15" t="s">
        <v>33</v>
      </c>
      <c r="D15" t="s">
        <v>1</v>
      </c>
      <c r="E15" t="s">
        <v>19</v>
      </c>
      <c r="F15">
        <v>40</v>
      </c>
      <c r="G15" t="s">
        <v>23</v>
      </c>
      <c r="H15">
        <v>1</v>
      </c>
      <c r="I15">
        <v>274</v>
      </c>
      <c r="J15">
        <v>274</v>
      </c>
    </row>
    <row r="16" spans="1:10" x14ac:dyDescent="0.3">
      <c r="A16">
        <v>15</v>
      </c>
      <c r="B16" s="1">
        <v>44941</v>
      </c>
      <c r="C16" t="s">
        <v>34</v>
      </c>
      <c r="D16" t="s">
        <v>1</v>
      </c>
      <c r="E16" t="s">
        <v>14</v>
      </c>
      <c r="F16">
        <v>35</v>
      </c>
      <c r="G16" t="s">
        <v>27</v>
      </c>
      <c r="H16">
        <v>2</v>
      </c>
      <c r="I16">
        <v>287</v>
      </c>
      <c r="J16">
        <v>574</v>
      </c>
    </row>
    <row r="17" spans="1:10" x14ac:dyDescent="0.3">
      <c r="A17">
        <v>16</v>
      </c>
      <c r="B17" s="1">
        <v>44942</v>
      </c>
      <c r="C17" t="s">
        <v>35</v>
      </c>
      <c r="D17" t="s">
        <v>4</v>
      </c>
      <c r="E17" t="s">
        <v>14</v>
      </c>
      <c r="F17">
        <v>36</v>
      </c>
      <c r="G17" t="s">
        <v>27</v>
      </c>
      <c r="H17">
        <v>5</v>
      </c>
      <c r="I17">
        <v>205</v>
      </c>
      <c r="J17">
        <v>1025</v>
      </c>
    </row>
    <row r="18" spans="1:10" x14ac:dyDescent="0.3">
      <c r="A18">
        <v>17</v>
      </c>
      <c r="B18" s="1">
        <v>44943</v>
      </c>
      <c r="C18" t="s">
        <v>36</v>
      </c>
      <c r="D18" t="s">
        <v>1</v>
      </c>
      <c r="E18" t="s">
        <v>14</v>
      </c>
      <c r="F18">
        <v>29</v>
      </c>
      <c r="G18" t="s">
        <v>17</v>
      </c>
      <c r="H18">
        <v>4</v>
      </c>
      <c r="I18">
        <v>278</v>
      </c>
      <c r="J18">
        <v>1112</v>
      </c>
    </row>
    <row r="19" spans="1:10" x14ac:dyDescent="0.3">
      <c r="A19">
        <v>18</v>
      </c>
      <c r="B19" s="1">
        <v>44944</v>
      </c>
      <c r="C19" t="s">
        <v>37</v>
      </c>
      <c r="D19" t="s">
        <v>1</v>
      </c>
      <c r="E19" t="s">
        <v>14</v>
      </c>
      <c r="F19">
        <v>31</v>
      </c>
      <c r="G19" t="s">
        <v>27</v>
      </c>
      <c r="H19">
        <v>3</v>
      </c>
      <c r="I19">
        <v>304</v>
      </c>
      <c r="J19">
        <v>912</v>
      </c>
    </row>
    <row r="20" spans="1:10" x14ac:dyDescent="0.3">
      <c r="A20">
        <v>19</v>
      </c>
      <c r="B20" s="1">
        <v>44945</v>
      </c>
      <c r="C20" t="s">
        <v>38</v>
      </c>
      <c r="D20" t="s">
        <v>2</v>
      </c>
      <c r="E20" t="s">
        <v>19</v>
      </c>
      <c r="F20">
        <v>26</v>
      </c>
      <c r="G20" t="s">
        <v>23</v>
      </c>
      <c r="H20">
        <v>5</v>
      </c>
      <c r="I20">
        <v>44</v>
      </c>
      <c r="J20">
        <v>220</v>
      </c>
    </row>
    <row r="21" spans="1:10" x14ac:dyDescent="0.3">
      <c r="A21">
        <v>20</v>
      </c>
      <c r="B21" s="1">
        <v>44946</v>
      </c>
      <c r="C21" t="s">
        <v>39</v>
      </c>
      <c r="D21" t="s">
        <v>1</v>
      </c>
      <c r="E21" t="s">
        <v>19</v>
      </c>
      <c r="F21">
        <v>23</v>
      </c>
      <c r="G21" t="s">
        <v>17</v>
      </c>
      <c r="H21">
        <v>3</v>
      </c>
      <c r="I21">
        <v>412</v>
      </c>
      <c r="J21">
        <v>1236</v>
      </c>
    </row>
    <row r="22" spans="1:10" x14ac:dyDescent="0.3">
      <c r="A22">
        <v>21</v>
      </c>
      <c r="B22" s="1">
        <v>44947</v>
      </c>
      <c r="C22" t="s">
        <v>40</v>
      </c>
      <c r="D22" t="s">
        <v>3</v>
      </c>
      <c r="E22" t="s">
        <v>19</v>
      </c>
      <c r="F22">
        <v>41</v>
      </c>
      <c r="G22" t="s">
        <v>15</v>
      </c>
      <c r="H22">
        <v>4</v>
      </c>
      <c r="I22">
        <v>103</v>
      </c>
      <c r="J22">
        <v>412</v>
      </c>
    </row>
    <row r="23" spans="1:10" x14ac:dyDescent="0.3">
      <c r="A23">
        <v>22</v>
      </c>
      <c r="B23" s="1">
        <v>44948</v>
      </c>
      <c r="C23" t="s">
        <v>41</v>
      </c>
      <c r="D23" t="s">
        <v>4</v>
      </c>
      <c r="E23" t="s">
        <v>19</v>
      </c>
      <c r="F23">
        <v>54</v>
      </c>
      <c r="G23" t="s">
        <v>20</v>
      </c>
      <c r="H23">
        <v>2</v>
      </c>
      <c r="I23">
        <v>55</v>
      </c>
      <c r="J23">
        <v>110</v>
      </c>
    </row>
    <row r="24" spans="1:10" x14ac:dyDescent="0.3">
      <c r="A24">
        <v>23</v>
      </c>
      <c r="B24" s="1">
        <v>44949</v>
      </c>
      <c r="C24" t="s">
        <v>42</v>
      </c>
      <c r="D24" t="s">
        <v>1</v>
      </c>
      <c r="E24" t="s">
        <v>19</v>
      </c>
      <c r="F24">
        <v>24</v>
      </c>
      <c r="G24" t="s">
        <v>15</v>
      </c>
      <c r="H24">
        <v>4</v>
      </c>
      <c r="I24">
        <v>298</v>
      </c>
      <c r="J24">
        <v>1192</v>
      </c>
    </row>
    <row r="25" spans="1:10" x14ac:dyDescent="0.3">
      <c r="A25">
        <v>24</v>
      </c>
      <c r="B25" s="1">
        <v>44950</v>
      </c>
      <c r="C25" t="s">
        <v>43</v>
      </c>
      <c r="D25" t="s">
        <v>4</v>
      </c>
      <c r="E25" t="s">
        <v>19</v>
      </c>
      <c r="F25">
        <v>30</v>
      </c>
      <c r="G25" t="s">
        <v>15</v>
      </c>
      <c r="H25">
        <v>1</v>
      </c>
      <c r="I25">
        <v>232</v>
      </c>
      <c r="J25">
        <v>232</v>
      </c>
    </row>
    <row r="26" spans="1:10" x14ac:dyDescent="0.3">
      <c r="A26">
        <v>25</v>
      </c>
      <c r="B26" s="1">
        <v>44951</v>
      </c>
      <c r="C26" t="s">
        <v>44</v>
      </c>
      <c r="D26" t="s">
        <v>4</v>
      </c>
      <c r="E26" t="s">
        <v>14</v>
      </c>
      <c r="F26">
        <v>36</v>
      </c>
      <c r="G26" t="s">
        <v>27</v>
      </c>
      <c r="H26">
        <v>4</v>
      </c>
      <c r="I26">
        <v>400</v>
      </c>
      <c r="J26">
        <v>1600</v>
      </c>
    </row>
    <row r="27" spans="1:10" x14ac:dyDescent="0.3">
      <c r="A27">
        <v>26</v>
      </c>
      <c r="B27" s="1">
        <v>44952</v>
      </c>
      <c r="C27" t="s">
        <v>45</v>
      </c>
      <c r="D27" t="s">
        <v>4</v>
      </c>
      <c r="E27" t="s">
        <v>19</v>
      </c>
      <c r="F27">
        <v>47</v>
      </c>
      <c r="G27" t="s">
        <v>27</v>
      </c>
      <c r="H27">
        <v>3</v>
      </c>
      <c r="I27">
        <v>292</v>
      </c>
      <c r="J27">
        <v>876</v>
      </c>
    </row>
    <row r="28" spans="1:10" x14ac:dyDescent="0.3">
      <c r="A28">
        <v>27</v>
      </c>
      <c r="B28" s="1">
        <v>44953</v>
      </c>
      <c r="C28" t="s">
        <v>46</v>
      </c>
      <c r="D28" t="s">
        <v>1</v>
      </c>
      <c r="E28" t="s">
        <v>19</v>
      </c>
      <c r="F28">
        <v>21</v>
      </c>
      <c r="G28" t="s">
        <v>15</v>
      </c>
      <c r="H28">
        <v>3</v>
      </c>
      <c r="I28">
        <v>237</v>
      </c>
      <c r="J28">
        <v>711</v>
      </c>
    </row>
    <row r="29" spans="1:10" x14ac:dyDescent="0.3">
      <c r="A29">
        <v>28</v>
      </c>
      <c r="B29" s="1">
        <v>44954</v>
      </c>
      <c r="C29" t="s">
        <v>47</v>
      </c>
      <c r="D29" t="s">
        <v>1</v>
      </c>
      <c r="E29" t="s">
        <v>14</v>
      </c>
      <c r="F29">
        <v>54</v>
      </c>
      <c r="G29" t="s">
        <v>17</v>
      </c>
      <c r="H29">
        <v>1</v>
      </c>
      <c r="I29">
        <v>208</v>
      </c>
      <c r="J29">
        <v>208</v>
      </c>
    </row>
    <row r="30" spans="1:10" x14ac:dyDescent="0.3">
      <c r="A30">
        <v>29</v>
      </c>
      <c r="B30" s="1">
        <v>44955</v>
      </c>
      <c r="C30" t="s">
        <v>48</v>
      </c>
      <c r="D30" t="s">
        <v>4</v>
      </c>
      <c r="E30" t="s">
        <v>14</v>
      </c>
      <c r="F30">
        <v>21</v>
      </c>
      <c r="G30" t="s">
        <v>23</v>
      </c>
      <c r="H30">
        <v>5</v>
      </c>
      <c r="I30">
        <v>464</v>
      </c>
      <c r="J30">
        <v>2320</v>
      </c>
    </row>
    <row r="31" spans="1:10" x14ac:dyDescent="0.3">
      <c r="A31">
        <v>30</v>
      </c>
      <c r="B31" s="1">
        <v>44956</v>
      </c>
      <c r="C31" t="s">
        <v>49</v>
      </c>
      <c r="D31" t="s">
        <v>3</v>
      </c>
      <c r="E31" t="s">
        <v>19</v>
      </c>
      <c r="F31">
        <v>35</v>
      </c>
      <c r="G31" t="s">
        <v>27</v>
      </c>
      <c r="H31">
        <v>1</v>
      </c>
      <c r="I31">
        <v>95</v>
      </c>
      <c r="J31">
        <v>95</v>
      </c>
    </row>
    <row r="32" spans="1:10" x14ac:dyDescent="0.3">
      <c r="A32">
        <v>31</v>
      </c>
      <c r="B32" s="1">
        <v>44957</v>
      </c>
      <c r="C32" t="s">
        <v>50</v>
      </c>
      <c r="D32" t="s">
        <v>4</v>
      </c>
      <c r="E32" t="s">
        <v>19</v>
      </c>
      <c r="F32">
        <v>44</v>
      </c>
      <c r="G32" t="s">
        <v>20</v>
      </c>
      <c r="H32">
        <v>3</v>
      </c>
      <c r="I32">
        <v>316</v>
      </c>
      <c r="J32">
        <v>948</v>
      </c>
    </row>
    <row r="33" spans="1:10" x14ac:dyDescent="0.3">
      <c r="A33">
        <v>32</v>
      </c>
      <c r="B33" s="1">
        <v>44958</v>
      </c>
      <c r="C33" t="s">
        <v>51</v>
      </c>
      <c r="D33" t="s">
        <v>3</v>
      </c>
      <c r="E33" t="s">
        <v>19</v>
      </c>
      <c r="F33">
        <v>24</v>
      </c>
      <c r="G33" t="s">
        <v>17</v>
      </c>
      <c r="H33">
        <v>3</v>
      </c>
      <c r="I33">
        <v>102</v>
      </c>
      <c r="J33">
        <v>306</v>
      </c>
    </row>
    <row r="34" spans="1:10" x14ac:dyDescent="0.3">
      <c r="A34">
        <v>33</v>
      </c>
      <c r="B34" s="1">
        <v>44959</v>
      </c>
      <c r="C34" t="s">
        <v>52</v>
      </c>
      <c r="D34" t="s">
        <v>4</v>
      </c>
      <c r="E34" t="s">
        <v>19</v>
      </c>
      <c r="F34">
        <v>30</v>
      </c>
      <c r="G34" t="s">
        <v>27</v>
      </c>
      <c r="H34">
        <v>3</v>
      </c>
      <c r="I34">
        <v>327</v>
      </c>
      <c r="J34">
        <v>981</v>
      </c>
    </row>
    <row r="35" spans="1:10" x14ac:dyDescent="0.3">
      <c r="A35">
        <v>34</v>
      </c>
      <c r="B35" s="1">
        <v>44960</v>
      </c>
      <c r="C35" t="s">
        <v>53</v>
      </c>
      <c r="D35" t="s">
        <v>2</v>
      </c>
      <c r="E35" t="s">
        <v>19</v>
      </c>
      <c r="F35">
        <v>34</v>
      </c>
      <c r="G35" t="s">
        <v>17</v>
      </c>
      <c r="H35">
        <v>4</v>
      </c>
      <c r="I35">
        <v>267</v>
      </c>
      <c r="J35">
        <v>1068</v>
      </c>
    </row>
    <row r="36" spans="1:10" x14ac:dyDescent="0.3">
      <c r="A36">
        <v>35</v>
      </c>
      <c r="B36" s="1">
        <v>44961</v>
      </c>
      <c r="C36" t="s">
        <v>54</v>
      </c>
      <c r="D36" t="s">
        <v>4</v>
      </c>
      <c r="E36" t="s">
        <v>19</v>
      </c>
      <c r="F36">
        <v>60</v>
      </c>
      <c r="G36" t="s">
        <v>20</v>
      </c>
      <c r="H36">
        <v>2</v>
      </c>
      <c r="I36">
        <v>380</v>
      </c>
      <c r="J36">
        <v>760</v>
      </c>
    </row>
    <row r="37" spans="1:10" x14ac:dyDescent="0.3">
      <c r="A37">
        <v>36</v>
      </c>
      <c r="B37" s="1">
        <v>44962</v>
      </c>
      <c r="C37" t="s">
        <v>55</v>
      </c>
      <c r="D37" t="s">
        <v>4</v>
      </c>
      <c r="E37" t="s">
        <v>19</v>
      </c>
      <c r="F37">
        <v>31</v>
      </c>
      <c r="G37" t="s">
        <v>20</v>
      </c>
      <c r="H37">
        <v>4</v>
      </c>
      <c r="I37">
        <v>347</v>
      </c>
      <c r="J37">
        <v>1388</v>
      </c>
    </row>
    <row r="38" spans="1:10" x14ac:dyDescent="0.3">
      <c r="A38">
        <v>37</v>
      </c>
      <c r="B38" s="1">
        <v>44963</v>
      </c>
      <c r="C38" t="s">
        <v>56</v>
      </c>
      <c r="D38" t="s">
        <v>1</v>
      </c>
      <c r="E38" t="s">
        <v>14</v>
      </c>
      <c r="F38">
        <v>37</v>
      </c>
      <c r="G38" t="s">
        <v>23</v>
      </c>
      <c r="H38">
        <v>1</v>
      </c>
      <c r="I38">
        <v>196</v>
      </c>
      <c r="J38">
        <v>196</v>
      </c>
    </row>
    <row r="39" spans="1:10" x14ac:dyDescent="0.3">
      <c r="A39">
        <v>38</v>
      </c>
      <c r="B39" s="1">
        <v>44964</v>
      </c>
      <c r="C39" t="s">
        <v>57</v>
      </c>
      <c r="D39" t="s">
        <v>3</v>
      </c>
      <c r="E39" t="s">
        <v>19</v>
      </c>
      <c r="F39">
        <v>24</v>
      </c>
      <c r="G39" t="s">
        <v>23</v>
      </c>
      <c r="H39">
        <v>2</v>
      </c>
      <c r="I39">
        <v>276</v>
      </c>
      <c r="J39">
        <v>552</v>
      </c>
    </row>
    <row r="40" spans="1:10" x14ac:dyDescent="0.3">
      <c r="A40">
        <v>39</v>
      </c>
      <c r="B40" s="1">
        <v>44965</v>
      </c>
      <c r="C40" t="s">
        <v>58</v>
      </c>
      <c r="D40" t="s">
        <v>2</v>
      </c>
      <c r="E40" t="s">
        <v>19</v>
      </c>
      <c r="F40">
        <v>33</v>
      </c>
      <c r="G40" t="s">
        <v>27</v>
      </c>
      <c r="H40">
        <v>3</v>
      </c>
      <c r="I40">
        <v>481</v>
      </c>
      <c r="J40">
        <v>1443</v>
      </c>
    </row>
    <row r="41" spans="1:10" x14ac:dyDescent="0.3">
      <c r="A41">
        <v>40</v>
      </c>
      <c r="B41" s="1">
        <v>44966</v>
      </c>
      <c r="C41" t="s">
        <v>59</v>
      </c>
      <c r="D41" t="s">
        <v>3</v>
      </c>
      <c r="E41" t="s">
        <v>14</v>
      </c>
      <c r="F41">
        <v>18</v>
      </c>
      <c r="G41" t="s">
        <v>20</v>
      </c>
      <c r="H41">
        <v>5</v>
      </c>
      <c r="I41">
        <v>330</v>
      </c>
      <c r="J41">
        <v>1650</v>
      </c>
    </row>
    <row r="42" spans="1:10" x14ac:dyDescent="0.3">
      <c r="A42">
        <v>41</v>
      </c>
      <c r="B42" s="1">
        <v>44967</v>
      </c>
      <c r="C42" t="s">
        <v>60</v>
      </c>
      <c r="D42" t="s">
        <v>2</v>
      </c>
      <c r="E42" t="s">
        <v>14</v>
      </c>
      <c r="F42">
        <v>41</v>
      </c>
      <c r="G42" t="s">
        <v>17</v>
      </c>
      <c r="H42">
        <v>5</v>
      </c>
      <c r="I42">
        <v>341</v>
      </c>
      <c r="J42">
        <v>1705</v>
      </c>
    </row>
    <row r="43" spans="1:10" x14ac:dyDescent="0.3">
      <c r="A43">
        <v>42</v>
      </c>
      <c r="B43" s="1">
        <v>44968</v>
      </c>
      <c r="C43" t="s">
        <v>61</v>
      </c>
      <c r="D43" t="s">
        <v>4</v>
      </c>
      <c r="E43" t="s">
        <v>19</v>
      </c>
      <c r="F43">
        <v>44</v>
      </c>
      <c r="G43" t="s">
        <v>27</v>
      </c>
      <c r="H43">
        <v>4</v>
      </c>
      <c r="I43">
        <v>27</v>
      </c>
      <c r="J43">
        <v>108</v>
      </c>
    </row>
    <row r="44" spans="1:10" x14ac:dyDescent="0.3">
      <c r="A44">
        <v>43</v>
      </c>
      <c r="B44" s="1">
        <v>44969</v>
      </c>
      <c r="C44" t="s">
        <v>62</v>
      </c>
      <c r="D44" t="s">
        <v>1</v>
      </c>
      <c r="E44" t="s">
        <v>14</v>
      </c>
      <c r="F44">
        <v>24</v>
      </c>
      <c r="G44" t="s">
        <v>15</v>
      </c>
      <c r="H44">
        <v>1</v>
      </c>
      <c r="I44">
        <v>472</v>
      </c>
      <c r="J44">
        <v>472</v>
      </c>
    </row>
    <row r="45" spans="1:10" x14ac:dyDescent="0.3">
      <c r="A45">
        <v>44</v>
      </c>
      <c r="B45" s="1">
        <v>44970</v>
      </c>
      <c r="C45" t="s">
        <v>63</v>
      </c>
      <c r="D45" t="s">
        <v>1</v>
      </c>
      <c r="E45" t="s">
        <v>19</v>
      </c>
      <c r="F45">
        <v>50</v>
      </c>
      <c r="G45" t="s">
        <v>17</v>
      </c>
      <c r="H45">
        <v>3</v>
      </c>
      <c r="I45">
        <v>207</v>
      </c>
      <c r="J45">
        <v>621</v>
      </c>
    </row>
    <row r="46" spans="1:10" x14ac:dyDescent="0.3">
      <c r="A46">
        <v>45</v>
      </c>
      <c r="B46" s="1">
        <v>44971</v>
      </c>
      <c r="C46" t="s">
        <v>64</v>
      </c>
      <c r="D46" t="s">
        <v>3</v>
      </c>
      <c r="E46" t="s">
        <v>14</v>
      </c>
      <c r="F46">
        <v>40</v>
      </c>
      <c r="G46" t="s">
        <v>20</v>
      </c>
      <c r="H46">
        <v>4</v>
      </c>
      <c r="I46">
        <v>148</v>
      </c>
      <c r="J46">
        <v>592</v>
      </c>
    </row>
    <row r="47" spans="1:10" x14ac:dyDescent="0.3">
      <c r="A47">
        <v>46</v>
      </c>
      <c r="B47" s="1">
        <v>44972</v>
      </c>
      <c r="C47" t="s">
        <v>65</v>
      </c>
      <c r="D47" t="s">
        <v>1</v>
      </c>
      <c r="E47" t="s">
        <v>14</v>
      </c>
      <c r="F47">
        <v>36</v>
      </c>
      <c r="G47" t="s">
        <v>23</v>
      </c>
      <c r="H47">
        <v>4</v>
      </c>
      <c r="I47">
        <v>429</v>
      </c>
      <c r="J47">
        <v>1716</v>
      </c>
    </row>
    <row r="48" spans="1:10" x14ac:dyDescent="0.3">
      <c r="A48">
        <v>47</v>
      </c>
      <c r="B48" s="1">
        <v>44973</v>
      </c>
      <c r="C48" t="s">
        <v>66</v>
      </c>
      <c r="D48" t="s">
        <v>3</v>
      </c>
      <c r="E48" t="s">
        <v>14</v>
      </c>
      <c r="F48">
        <v>22</v>
      </c>
      <c r="G48" t="s">
        <v>27</v>
      </c>
      <c r="H48">
        <v>4</v>
      </c>
      <c r="I48">
        <v>121</v>
      </c>
      <c r="J48">
        <v>484</v>
      </c>
    </row>
    <row r="49" spans="1:10" x14ac:dyDescent="0.3">
      <c r="A49">
        <v>48</v>
      </c>
      <c r="B49" s="1">
        <v>44974</v>
      </c>
      <c r="C49" t="s">
        <v>67</v>
      </c>
      <c r="D49" t="s">
        <v>3</v>
      </c>
      <c r="E49" t="s">
        <v>19</v>
      </c>
      <c r="F49">
        <v>40</v>
      </c>
      <c r="G49" t="s">
        <v>15</v>
      </c>
      <c r="H49">
        <v>3</v>
      </c>
      <c r="I49">
        <v>143</v>
      </c>
      <c r="J49">
        <v>429</v>
      </c>
    </row>
    <row r="50" spans="1:10" x14ac:dyDescent="0.3">
      <c r="A50">
        <v>49</v>
      </c>
      <c r="B50" s="1">
        <v>44975</v>
      </c>
      <c r="C50" t="s">
        <v>68</v>
      </c>
      <c r="D50" t="s">
        <v>2</v>
      </c>
      <c r="E50" t="s">
        <v>14</v>
      </c>
      <c r="F50">
        <v>27</v>
      </c>
      <c r="G50" t="s">
        <v>17</v>
      </c>
      <c r="H50">
        <v>2</v>
      </c>
      <c r="I50">
        <v>282</v>
      </c>
      <c r="J50">
        <v>564</v>
      </c>
    </row>
    <row r="51" spans="1:10" x14ac:dyDescent="0.3">
      <c r="A51">
        <v>50</v>
      </c>
      <c r="B51" s="1">
        <v>44976</v>
      </c>
      <c r="C51" t="s">
        <v>69</v>
      </c>
      <c r="D51" t="s">
        <v>3</v>
      </c>
      <c r="E51" t="s">
        <v>19</v>
      </c>
      <c r="F51">
        <v>18</v>
      </c>
      <c r="G51" t="s">
        <v>15</v>
      </c>
      <c r="H51">
        <v>3</v>
      </c>
      <c r="I51">
        <v>327</v>
      </c>
      <c r="J51">
        <v>981</v>
      </c>
    </row>
    <row r="52" spans="1:10" x14ac:dyDescent="0.3">
      <c r="A52">
        <v>51</v>
      </c>
      <c r="B52" s="1">
        <v>44977</v>
      </c>
      <c r="C52" t="s">
        <v>70</v>
      </c>
      <c r="D52" t="s">
        <v>2</v>
      </c>
      <c r="E52" t="s">
        <v>14</v>
      </c>
      <c r="F52">
        <v>34</v>
      </c>
      <c r="G52" t="s">
        <v>15</v>
      </c>
      <c r="H52">
        <v>1</v>
      </c>
      <c r="I52">
        <v>351</v>
      </c>
      <c r="J52">
        <v>351</v>
      </c>
    </row>
    <row r="53" spans="1:10" x14ac:dyDescent="0.3">
      <c r="A53">
        <v>52</v>
      </c>
      <c r="B53" s="1">
        <v>44978</v>
      </c>
      <c r="C53" t="s">
        <v>71</v>
      </c>
      <c r="D53" t="s">
        <v>1</v>
      </c>
      <c r="E53" t="s">
        <v>19</v>
      </c>
      <c r="F53">
        <v>60</v>
      </c>
      <c r="G53" t="s">
        <v>23</v>
      </c>
      <c r="H53">
        <v>3</v>
      </c>
      <c r="I53">
        <v>35</v>
      </c>
      <c r="J53">
        <v>105</v>
      </c>
    </row>
    <row r="54" spans="1:10" x14ac:dyDescent="0.3">
      <c r="A54">
        <v>53</v>
      </c>
      <c r="B54" s="1">
        <v>44979</v>
      </c>
      <c r="C54" t="s">
        <v>72</v>
      </c>
      <c r="D54" t="s">
        <v>3</v>
      </c>
      <c r="E54" t="s">
        <v>19</v>
      </c>
      <c r="F54">
        <v>19</v>
      </c>
      <c r="G54" t="s">
        <v>17</v>
      </c>
      <c r="H54">
        <v>4</v>
      </c>
      <c r="I54">
        <v>269</v>
      </c>
      <c r="J54">
        <v>1076</v>
      </c>
    </row>
    <row r="55" spans="1:10" x14ac:dyDescent="0.3">
      <c r="A55">
        <v>54</v>
      </c>
      <c r="B55" s="1">
        <v>44980</v>
      </c>
      <c r="C55" t="s">
        <v>73</v>
      </c>
      <c r="D55" t="s">
        <v>3</v>
      </c>
      <c r="E55" t="s">
        <v>14</v>
      </c>
      <c r="F55">
        <v>55</v>
      </c>
      <c r="G55" t="s">
        <v>23</v>
      </c>
      <c r="H55">
        <v>2</v>
      </c>
      <c r="I55">
        <v>85</v>
      </c>
      <c r="J55">
        <v>170</v>
      </c>
    </row>
    <row r="56" spans="1:10" x14ac:dyDescent="0.3">
      <c r="A56">
        <v>55</v>
      </c>
      <c r="B56" s="1">
        <v>44981</v>
      </c>
      <c r="C56" t="s">
        <v>74</v>
      </c>
      <c r="D56" t="s">
        <v>4</v>
      </c>
      <c r="E56" t="s">
        <v>14</v>
      </c>
      <c r="F56">
        <v>45</v>
      </c>
      <c r="G56" t="s">
        <v>17</v>
      </c>
      <c r="H56">
        <v>3</v>
      </c>
      <c r="I56">
        <v>359</v>
      </c>
      <c r="J56">
        <v>1077</v>
      </c>
    </row>
    <row r="57" spans="1:10" x14ac:dyDescent="0.3">
      <c r="A57">
        <v>56</v>
      </c>
      <c r="B57" s="1">
        <v>44982</v>
      </c>
      <c r="C57" t="s">
        <v>75</v>
      </c>
      <c r="D57" t="s">
        <v>3</v>
      </c>
      <c r="E57" t="s">
        <v>19</v>
      </c>
      <c r="F57">
        <v>23</v>
      </c>
      <c r="G57" t="s">
        <v>15</v>
      </c>
      <c r="H57">
        <v>1</v>
      </c>
      <c r="I57">
        <v>459</v>
      </c>
      <c r="J57">
        <v>459</v>
      </c>
    </row>
    <row r="58" spans="1:10" x14ac:dyDescent="0.3">
      <c r="A58">
        <v>57</v>
      </c>
      <c r="B58" s="1">
        <v>44983</v>
      </c>
      <c r="C58" t="s">
        <v>76</v>
      </c>
      <c r="D58" t="s">
        <v>3</v>
      </c>
      <c r="E58" t="s">
        <v>14</v>
      </c>
      <c r="F58">
        <v>45</v>
      </c>
      <c r="G58" t="s">
        <v>27</v>
      </c>
      <c r="H58">
        <v>4</v>
      </c>
      <c r="I58">
        <v>257</v>
      </c>
      <c r="J58">
        <v>1028</v>
      </c>
    </row>
    <row r="59" spans="1:10" x14ac:dyDescent="0.3">
      <c r="A59">
        <v>58</v>
      </c>
      <c r="B59" s="1">
        <v>44984</v>
      </c>
      <c r="C59" t="s">
        <v>77</v>
      </c>
      <c r="D59" t="s">
        <v>4</v>
      </c>
      <c r="E59" t="s">
        <v>14</v>
      </c>
      <c r="F59">
        <v>40</v>
      </c>
      <c r="G59" t="s">
        <v>27</v>
      </c>
      <c r="H59">
        <v>3</v>
      </c>
      <c r="I59">
        <v>258</v>
      </c>
      <c r="J59">
        <v>774</v>
      </c>
    </row>
    <row r="60" spans="1:10" x14ac:dyDescent="0.3">
      <c r="A60">
        <v>59</v>
      </c>
      <c r="B60" s="1">
        <v>44985</v>
      </c>
      <c r="C60" t="s">
        <v>78</v>
      </c>
      <c r="D60" t="s">
        <v>4</v>
      </c>
      <c r="E60" t="s">
        <v>19</v>
      </c>
      <c r="F60">
        <v>23</v>
      </c>
      <c r="G60" t="s">
        <v>17</v>
      </c>
      <c r="H60">
        <v>4</v>
      </c>
      <c r="I60">
        <v>416</v>
      </c>
      <c r="J60">
        <v>1664</v>
      </c>
    </row>
    <row r="61" spans="1:10" x14ac:dyDescent="0.3">
      <c r="A61">
        <v>60</v>
      </c>
      <c r="B61" s="1">
        <v>44986</v>
      </c>
      <c r="C61" t="s">
        <v>79</v>
      </c>
      <c r="D61" t="s">
        <v>1</v>
      </c>
      <c r="E61" t="s">
        <v>19</v>
      </c>
      <c r="F61">
        <v>29</v>
      </c>
      <c r="G61" t="s">
        <v>15</v>
      </c>
      <c r="H61">
        <v>5</v>
      </c>
      <c r="I61">
        <v>404</v>
      </c>
      <c r="J61">
        <v>2020</v>
      </c>
    </row>
    <row r="62" spans="1:10" x14ac:dyDescent="0.3">
      <c r="A62">
        <v>61</v>
      </c>
      <c r="B62" s="1">
        <v>44987</v>
      </c>
      <c r="C62" t="s">
        <v>80</v>
      </c>
      <c r="D62" t="s">
        <v>3</v>
      </c>
      <c r="E62" t="s">
        <v>19</v>
      </c>
      <c r="F62">
        <v>56</v>
      </c>
      <c r="G62" t="s">
        <v>17</v>
      </c>
      <c r="H62">
        <v>4</v>
      </c>
      <c r="I62">
        <v>242</v>
      </c>
      <c r="J62">
        <v>968</v>
      </c>
    </row>
    <row r="63" spans="1:10" x14ac:dyDescent="0.3">
      <c r="A63">
        <v>62</v>
      </c>
      <c r="B63" s="1">
        <v>44988</v>
      </c>
      <c r="C63" t="s">
        <v>81</v>
      </c>
      <c r="D63" t="s">
        <v>1</v>
      </c>
      <c r="E63" t="s">
        <v>19</v>
      </c>
      <c r="F63">
        <v>21</v>
      </c>
      <c r="G63" t="s">
        <v>27</v>
      </c>
      <c r="H63">
        <v>5</v>
      </c>
      <c r="I63">
        <v>221</v>
      </c>
      <c r="J63">
        <v>1105</v>
      </c>
    </row>
    <row r="64" spans="1:10" x14ac:dyDescent="0.3">
      <c r="A64">
        <v>63</v>
      </c>
      <c r="B64" s="1">
        <v>44989</v>
      </c>
      <c r="C64" t="s">
        <v>82</v>
      </c>
      <c r="D64" t="s">
        <v>1</v>
      </c>
      <c r="E64" t="s">
        <v>14</v>
      </c>
      <c r="F64">
        <v>47</v>
      </c>
      <c r="G64" t="s">
        <v>17</v>
      </c>
      <c r="H64">
        <v>2</v>
      </c>
      <c r="I64">
        <v>318</v>
      </c>
      <c r="J64">
        <v>636</v>
      </c>
    </row>
    <row r="65" spans="1:10" x14ac:dyDescent="0.3">
      <c r="A65">
        <v>64</v>
      </c>
      <c r="B65" s="1">
        <v>44990</v>
      </c>
      <c r="C65" t="s">
        <v>83</v>
      </c>
      <c r="D65" t="s">
        <v>4</v>
      </c>
      <c r="E65" t="s">
        <v>14</v>
      </c>
      <c r="F65">
        <v>30</v>
      </c>
      <c r="G65" t="s">
        <v>15</v>
      </c>
      <c r="H65">
        <v>1</v>
      </c>
      <c r="I65">
        <v>33</v>
      </c>
      <c r="J65">
        <v>33</v>
      </c>
    </row>
    <row r="66" spans="1:10" x14ac:dyDescent="0.3">
      <c r="A66">
        <v>65</v>
      </c>
      <c r="B66" s="1">
        <v>44991</v>
      </c>
      <c r="C66" t="s">
        <v>84</v>
      </c>
      <c r="D66" t="s">
        <v>2</v>
      </c>
      <c r="E66" t="s">
        <v>14</v>
      </c>
      <c r="F66">
        <v>37</v>
      </c>
      <c r="G66" t="s">
        <v>27</v>
      </c>
      <c r="H66">
        <v>2</v>
      </c>
      <c r="I66">
        <v>321</v>
      </c>
      <c r="J66">
        <v>642</v>
      </c>
    </row>
    <row r="67" spans="1:10" x14ac:dyDescent="0.3">
      <c r="A67">
        <v>66</v>
      </c>
      <c r="B67" s="1">
        <v>44992</v>
      </c>
      <c r="C67" t="s">
        <v>85</v>
      </c>
      <c r="D67" t="s">
        <v>1</v>
      </c>
      <c r="E67" t="s">
        <v>14</v>
      </c>
      <c r="F67">
        <v>49</v>
      </c>
      <c r="G67" t="s">
        <v>23</v>
      </c>
      <c r="H67">
        <v>2</v>
      </c>
      <c r="I67">
        <v>340</v>
      </c>
      <c r="J67">
        <v>680</v>
      </c>
    </row>
    <row r="68" spans="1:10" x14ac:dyDescent="0.3">
      <c r="A68">
        <v>67</v>
      </c>
      <c r="B68" s="1">
        <v>44993</v>
      </c>
      <c r="C68" t="s">
        <v>86</v>
      </c>
      <c r="D68" t="s">
        <v>2</v>
      </c>
      <c r="E68" t="s">
        <v>19</v>
      </c>
      <c r="F68">
        <v>42</v>
      </c>
      <c r="G68" t="s">
        <v>17</v>
      </c>
      <c r="H68">
        <v>4</v>
      </c>
      <c r="I68">
        <v>266</v>
      </c>
      <c r="J68">
        <v>1064</v>
      </c>
    </row>
    <row r="69" spans="1:10" x14ac:dyDescent="0.3">
      <c r="A69">
        <v>68</v>
      </c>
      <c r="B69" s="1">
        <v>44994</v>
      </c>
      <c r="C69" t="s">
        <v>87</v>
      </c>
      <c r="D69" t="s">
        <v>3</v>
      </c>
      <c r="E69" t="s">
        <v>19</v>
      </c>
      <c r="F69">
        <v>27</v>
      </c>
      <c r="G69" t="s">
        <v>20</v>
      </c>
      <c r="H69">
        <v>1</v>
      </c>
      <c r="I69">
        <v>246</v>
      </c>
      <c r="J69">
        <v>246</v>
      </c>
    </row>
    <row r="70" spans="1:10" x14ac:dyDescent="0.3">
      <c r="A70">
        <v>69</v>
      </c>
      <c r="B70" s="1">
        <v>44995</v>
      </c>
      <c r="C70" t="s">
        <v>88</v>
      </c>
      <c r="D70" t="s">
        <v>4</v>
      </c>
      <c r="E70" t="s">
        <v>14</v>
      </c>
      <c r="F70">
        <v>56</v>
      </c>
      <c r="G70" t="s">
        <v>27</v>
      </c>
      <c r="H70">
        <v>2</v>
      </c>
      <c r="I70">
        <v>235</v>
      </c>
      <c r="J70">
        <v>470</v>
      </c>
    </row>
    <row r="71" spans="1:10" x14ac:dyDescent="0.3">
      <c r="A71">
        <v>70</v>
      </c>
      <c r="B71" s="1">
        <v>44996</v>
      </c>
      <c r="C71" t="s">
        <v>89</v>
      </c>
      <c r="D71" t="s">
        <v>3</v>
      </c>
      <c r="E71" t="s">
        <v>14</v>
      </c>
      <c r="F71">
        <v>38</v>
      </c>
      <c r="G71" t="s">
        <v>20</v>
      </c>
      <c r="H71">
        <v>1</v>
      </c>
      <c r="I71">
        <v>45</v>
      </c>
      <c r="J71">
        <v>45</v>
      </c>
    </row>
    <row r="72" spans="1:10" x14ac:dyDescent="0.3">
      <c r="A72">
        <v>71</v>
      </c>
      <c r="B72" s="1">
        <v>44997</v>
      </c>
      <c r="C72" t="s">
        <v>90</v>
      </c>
      <c r="D72" t="s">
        <v>3</v>
      </c>
      <c r="E72" t="s">
        <v>14</v>
      </c>
      <c r="F72">
        <v>31</v>
      </c>
      <c r="G72" t="s">
        <v>20</v>
      </c>
      <c r="H72">
        <v>5</v>
      </c>
      <c r="I72">
        <v>26</v>
      </c>
      <c r="J72">
        <v>130</v>
      </c>
    </row>
    <row r="73" spans="1:10" x14ac:dyDescent="0.3">
      <c r="A73">
        <v>72</v>
      </c>
      <c r="B73" s="1">
        <v>44998</v>
      </c>
      <c r="C73" t="s">
        <v>91</v>
      </c>
      <c r="D73" t="s">
        <v>4</v>
      </c>
      <c r="E73" t="s">
        <v>19</v>
      </c>
      <c r="F73">
        <v>35</v>
      </c>
      <c r="G73" t="s">
        <v>15</v>
      </c>
      <c r="H73">
        <v>3</v>
      </c>
      <c r="I73">
        <v>483</v>
      </c>
      <c r="J73">
        <v>1449</v>
      </c>
    </row>
    <row r="74" spans="1:10" x14ac:dyDescent="0.3">
      <c r="A74">
        <v>73</v>
      </c>
      <c r="B74" s="1">
        <v>44999</v>
      </c>
      <c r="C74" t="s">
        <v>92</v>
      </c>
      <c r="D74" t="s">
        <v>3</v>
      </c>
      <c r="E74" t="s">
        <v>14</v>
      </c>
      <c r="F74">
        <v>22</v>
      </c>
      <c r="G74" t="s">
        <v>27</v>
      </c>
      <c r="H74">
        <v>1</v>
      </c>
      <c r="I74">
        <v>359</v>
      </c>
      <c r="J74">
        <v>359</v>
      </c>
    </row>
    <row r="75" spans="1:10" x14ac:dyDescent="0.3">
      <c r="A75">
        <v>74</v>
      </c>
      <c r="B75" s="1">
        <v>45000</v>
      </c>
      <c r="C75" t="s">
        <v>93</v>
      </c>
      <c r="D75" t="s">
        <v>4</v>
      </c>
      <c r="E75" t="s">
        <v>14</v>
      </c>
      <c r="F75">
        <v>35</v>
      </c>
      <c r="G75" t="s">
        <v>20</v>
      </c>
      <c r="H75">
        <v>4</v>
      </c>
      <c r="I75">
        <v>154</v>
      </c>
      <c r="J75">
        <v>616</v>
      </c>
    </row>
    <row r="76" spans="1:10" x14ac:dyDescent="0.3">
      <c r="A76">
        <v>75</v>
      </c>
      <c r="B76" s="1">
        <v>45001</v>
      </c>
      <c r="C76" t="s">
        <v>94</v>
      </c>
      <c r="D76" t="s">
        <v>2</v>
      </c>
      <c r="E76" t="s">
        <v>14</v>
      </c>
      <c r="F76">
        <v>58</v>
      </c>
      <c r="G76" t="s">
        <v>20</v>
      </c>
      <c r="H76">
        <v>2</v>
      </c>
      <c r="I76">
        <v>49</v>
      </c>
      <c r="J76">
        <v>98</v>
      </c>
    </row>
    <row r="77" spans="1:10" x14ac:dyDescent="0.3">
      <c r="A77">
        <v>76</v>
      </c>
      <c r="B77" s="1">
        <v>45002</v>
      </c>
      <c r="C77" t="s">
        <v>95</v>
      </c>
      <c r="D77" t="s">
        <v>3</v>
      </c>
      <c r="E77" t="s">
        <v>19</v>
      </c>
      <c r="F77">
        <v>30</v>
      </c>
      <c r="G77" t="s">
        <v>20</v>
      </c>
      <c r="H77">
        <v>4</v>
      </c>
      <c r="I77">
        <v>25</v>
      </c>
      <c r="J77">
        <v>100</v>
      </c>
    </row>
    <row r="78" spans="1:10" x14ac:dyDescent="0.3">
      <c r="A78">
        <v>77</v>
      </c>
      <c r="B78" s="1">
        <v>45003</v>
      </c>
      <c r="C78" t="s">
        <v>96</v>
      </c>
      <c r="D78" t="s">
        <v>4</v>
      </c>
      <c r="E78" t="s">
        <v>19</v>
      </c>
      <c r="F78">
        <v>52</v>
      </c>
      <c r="G78" t="s">
        <v>20</v>
      </c>
      <c r="H78">
        <v>5</v>
      </c>
      <c r="I78">
        <v>301</v>
      </c>
      <c r="J78">
        <v>1505</v>
      </c>
    </row>
    <row r="79" spans="1:10" x14ac:dyDescent="0.3">
      <c r="A79">
        <v>78</v>
      </c>
      <c r="B79" s="1">
        <v>45004</v>
      </c>
      <c r="C79" t="s">
        <v>97</v>
      </c>
      <c r="D79" t="s">
        <v>1</v>
      </c>
      <c r="E79" t="s">
        <v>19</v>
      </c>
      <c r="F79">
        <v>33</v>
      </c>
      <c r="G79" t="s">
        <v>20</v>
      </c>
      <c r="H79">
        <v>2</v>
      </c>
      <c r="I79">
        <v>437</v>
      </c>
      <c r="J79">
        <v>874</v>
      </c>
    </row>
    <row r="80" spans="1:10" x14ac:dyDescent="0.3">
      <c r="A80">
        <v>79</v>
      </c>
      <c r="B80" s="1">
        <v>45005</v>
      </c>
      <c r="C80" t="s">
        <v>98</v>
      </c>
      <c r="D80" t="s">
        <v>3</v>
      </c>
      <c r="E80" t="s">
        <v>19</v>
      </c>
      <c r="F80">
        <v>24</v>
      </c>
      <c r="G80" t="s">
        <v>17</v>
      </c>
      <c r="H80">
        <v>3</v>
      </c>
      <c r="I80">
        <v>453</v>
      </c>
      <c r="J80">
        <v>1359</v>
      </c>
    </row>
    <row r="81" spans="1:10" x14ac:dyDescent="0.3">
      <c r="A81">
        <v>80</v>
      </c>
      <c r="B81" s="1">
        <v>45006</v>
      </c>
      <c r="C81" t="s">
        <v>99</v>
      </c>
      <c r="D81" t="s">
        <v>2</v>
      </c>
      <c r="E81" t="s">
        <v>14</v>
      </c>
      <c r="F81">
        <v>48</v>
      </c>
      <c r="G81" t="s">
        <v>23</v>
      </c>
      <c r="H81">
        <v>2</v>
      </c>
      <c r="I81">
        <v>451</v>
      </c>
      <c r="J81">
        <v>902</v>
      </c>
    </row>
    <row r="82" spans="1:10" x14ac:dyDescent="0.3">
      <c r="A82">
        <v>81</v>
      </c>
      <c r="B82" s="1">
        <v>45007</v>
      </c>
      <c r="C82" t="s">
        <v>100</v>
      </c>
      <c r="D82" t="s">
        <v>4</v>
      </c>
      <c r="E82" t="s">
        <v>19</v>
      </c>
      <c r="F82">
        <v>21</v>
      </c>
      <c r="G82" t="s">
        <v>17</v>
      </c>
      <c r="H82">
        <v>3</v>
      </c>
      <c r="I82">
        <v>418</v>
      </c>
      <c r="J82">
        <v>1254</v>
      </c>
    </row>
    <row r="83" spans="1:10" x14ac:dyDescent="0.3">
      <c r="A83">
        <v>82</v>
      </c>
      <c r="B83" s="1">
        <v>45008</v>
      </c>
      <c r="C83" t="s">
        <v>101</v>
      </c>
      <c r="D83" t="s">
        <v>3</v>
      </c>
      <c r="E83" t="s">
        <v>19</v>
      </c>
      <c r="F83">
        <v>33</v>
      </c>
      <c r="G83" t="s">
        <v>27</v>
      </c>
      <c r="H83">
        <v>5</v>
      </c>
      <c r="I83">
        <v>107</v>
      </c>
      <c r="J83">
        <v>535</v>
      </c>
    </row>
    <row r="84" spans="1:10" x14ac:dyDescent="0.3">
      <c r="A84">
        <v>83</v>
      </c>
      <c r="B84" s="1">
        <v>45009</v>
      </c>
      <c r="C84" t="s">
        <v>102</v>
      </c>
      <c r="D84" t="s">
        <v>3</v>
      </c>
      <c r="E84" t="s">
        <v>19</v>
      </c>
      <c r="F84">
        <v>50</v>
      </c>
      <c r="G84" t="s">
        <v>23</v>
      </c>
      <c r="H84">
        <v>5</v>
      </c>
      <c r="I84">
        <v>209</v>
      </c>
      <c r="J84">
        <v>1045</v>
      </c>
    </row>
    <row r="85" spans="1:10" x14ac:dyDescent="0.3">
      <c r="A85">
        <v>84</v>
      </c>
      <c r="B85" s="1">
        <v>45010</v>
      </c>
      <c r="C85" t="s">
        <v>103</v>
      </c>
      <c r="D85" t="s">
        <v>3</v>
      </c>
      <c r="E85" t="s">
        <v>14</v>
      </c>
      <c r="F85">
        <v>25</v>
      </c>
      <c r="G85" t="s">
        <v>17</v>
      </c>
      <c r="H85">
        <v>3</v>
      </c>
      <c r="I85">
        <v>118</v>
      </c>
      <c r="J85">
        <v>354</v>
      </c>
    </row>
    <row r="86" spans="1:10" x14ac:dyDescent="0.3">
      <c r="A86">
        <v>85</v>
      </c>
      <c r="B86" s="1">
        <v>45011</v>
      </c>
      <c r="C86" t="s">
        <v>104</v>
      </c>
      <c r="D86" t="s">
        <v>2</v>
      </c>
      <c r="E86" t="s">
        <v>14</v>
      </c>
      <c r="F86">
        <v>22</v>
      </c>
      <c r="G86" t="s">
        <v>23</v>
      </c>
      <c r="H86">
        <v>3</v>
      </c>
      <c r="I86">
        <v>38</v>
      </c>
      <c r="J86">
        <v>114</v>
      </c>
    </row>
    <row r="87" spans="1:10" x14ac:dyDescent="0.3">
      <c r="A87">
        <v>86</v>
      </c>
      <c r="B87" s="1">
        <v>45012</v>
      </c>
      <c r="C87" t="s">
        <v>105</v>
      </c>
      <c r="D87" t="s">
        <v>4</v>
      </c>
      <c r="E87" t="s">
        <v>14</v>
      </c>
      <c r="F87">
        <v>50</v>
      </c>
      <c r="G87" t="s">
        <v>15</v>
      </c>
      <c r="H87">
        <v>3</v>
      </c>
      <c r="I87">
        <v>156</v>
      </c>
      <c r="J87">
        <v>468</v>
      </c>
    </row>
    <row r="88" spans="1:10" x14ac:dyDescent="0.3">
      <c r="A88">
        <v>87</v>
      </c>
      <c r="B88" s="1">
        <v>45013</v>
      </c>
      <c r="C88" t="s">
        <v>106</v>
      </c>
      <c r="D88" t="s">
        <v>1</v>
      </c>
      <c r="E88" t="s">
        <v>19</v>
      </c>
      <c r="F88">
        <v>53</v>
      </c>
      <c r="G88" t="s">
        <v>20</v>
      </c>
      <c r="H88">
        <v>1</v>
      </c>
      <c r="I88">
        <v>463</v>
      </c>
      <c r="J88">
        <v>463</v>
      </c>
    </row>
    <row r="89" spans="1:10" x14ac:dyDescent="0.3">
      <c r="A89">
        <v>88</v>
      </c>
      <c r="B89" s="1">
        <v>45014</v>
      </c>
      <c r="C89" t="s">
        <v>107</v>
      </c>
      <c r="D89" t="s">
        <v>1</v>
      </c>
      <c r="E89" t="s">
        <v>14</v>
      </c>
      <c r="F89">
        <v>54</v>
      </c>
      <c r="G89" t="s">
        <v>15</v>
      </c>
      <c r="H89">
        <v>5</v>
      </c>
      <c r="I89">
        <v>151</v>
      </c>
      <c r="J89">
        <v>755</v>
      </c>
    </row>
    <row r="90" spans="1:10" x14ac:dyDescent="0.3">
      <c r="A90">
        <v>89</v>
      </c>
      <c r="B90" s="1">
        <v>45015</v>
      </c>
      <c r="C90" t="s">
        <v>108</v>
      </c>
      <c r="D90" t="s">
        <v>1</v>
      </c>
      <c r="E90" t="s">
        <v>14</v>
      </c>
      <c r="F90">
        <v>29</v>
      </c>
      <c r="G90" t="s">
        <v>15</v>
      </c>
      <c r="H90">
        <v>5</v>
      </c>
      <c r="I90">
        <v>305</v>
      </c>
      <c r="J90">
        <v>1525</v>
      </c>
    </row>
    <row r="91" spans="1:10" x14ac:dyDescent="0.3">
      <c r="A91">
        <v>90</v>
      </c>
      <c r="B91" s="1">
        <v>45016</v>
      </c>
      <c r="C91" t="s">
        <v>109</v>
      </c>
      <c r="D91" t="s">
        <v>4</v>
      </c>
      <c r="E91" t="s">
        <v>14</v>
      </c>
      <c r="F91">
        <v>36</v>
      </c>
      <c r="G91" t="s">
        <v>27</v>
      </c>
      <c r="H91">
        <v>1</v>
      </c>
      <c r="I91">
        <v>340</v>
      </c>
      <c r="J91">
        <v>340</v>
      </c>
    </row>
    <row r="92" spans="1:10" x14ac:dyDescent="0.3">
      <c r="A92">
        <v>91</v>
      </c>
      <c r="B92" s="1">
        <v>45017</v>
      </c>
      <c r="C92" t="s">
        <v>110</v>
      </c>
      <c r="D92" t="s">
        <v>1</v>
      </c>
      <c r="E92" t="s">
        <v>19</v>
      </c>
      <c r="F92">
        <v>35</v>
      </c>
      <c r="G92" t="s">
        <v>20</v>
      </c>
      <c r="H92">
        <v>4</v>
      </c>
      <c r="I92">
        <v>324</v>
      </c>
      <c r="J92">
        <v>1296</v>
      </c>
    </row>
    <row r="93" spans="1:10" x14ac:dyDescent="0.3">
      <c r="A93">
        <v>92</v>
      </c>
      <c r="B93" s="1">
        <v>45018</v>
      </c>
      <c r="C93" t="s">
        <v>111</v>
      </c>
      <c r="D93" t="s">
        <v>2</v>
      </c>
      <c r="E93" t="s">
        <v>14</v>
      </c>
      <c r="F93">
        <v>32</v>
      </c>
      <c r="G93" t="s">
        <v>23</v>
      </c>
      <c r="H93">
        <v>3</v>
      </c>
      <c r="I93">
        <v>122</v>
      </c>
      <c r="J93">
        <v>366</v>
      </c>
    </row>
    <row r="94" spans="1:10" x14ac:dyDescent="0.3">
      <c r="A94">
        <v>93</v>
      </c>
      <c r="B94" s="1">
        <v>45019</v>
      </c>
      <c r="C94" t="s">
        <v>112</v>
      </c>
      <c r="D94" t="s">
        <v>4</v>
      </c>
      <c r="E94" t="s">
        <v>14</v>
      </c>
      <c r="F94">
        <v>38</v>
      </c>
      <c r="G94" t="s">
        <v>27</v>
      </c>
      <c r="H94">
        <v>4</v>
      </c>
      <c r="I94">
        <v>225</v>
      </c>
      <c r="J94">
        <v>900</v>
      </c>
    </row>
    <row r="95" spans="1:10" x14ac:dyDescent="0.3">
      <c r="A95">
        <v>94</v>
      </c>
      <c r="B95" s="1">
        <v>45020</v>
      </c>
      <c r="C95" t="s">
        <v>113</v>
      </c>
      <c r="D95" t="s">
        <v>3</v>
      </c>
      <c r="E95" t="s">
        <v>14</v>
      </c>
      <c r="F95">
        <v>22</v>
      </c>
      <c r="G95" t="s">
        <v>27</v>
      </c>
      <c r="H95">
        <v>1</v>
      </c>
      <c r="I95">
        <v>314</v>
      </c>
      <c r="J95">
        <v>314</v>
      </c>
    </row>
    <row r="96" spans="1:10" x14ac:dyDescent="0.3">
      <c r="A96">
        <v>95</v>
      </c>
      <c r="B96" s="1">
        <v>45021</v>
      </c>
      <c r="C96" t="s">
        <v>114</v>
      </c>
      <c r="D96" t="s">
        <v>2</v>
      </c>
      <c r="E96" t="s">
        <v>19</v>
      </c>
      <c r="F96">
        <v>32</v>
      </c>
      <c r="G96" t="s">
        <v>20</v>
      </c>
      <c r="H96">
        <v>2</v>
      </c>
      <c r="I96">
        <v>274</v>
      </c>
      <c r="J96">
        <v>548</v>
      </c>
    </row>
    <row r="97" spans="1:10" x14ac:dyDescent="0.3">
      <c r="A97">
        <v>96</v>
      </c>
      <c r="B97" s="1">
        <v>45022</v>
      </c>
      <c r="C97" t="s">
        <v>115</v>
      </c>
      <c r="D97" t="s">
        <v>3</v>
      </c>
      <c r="E97" t="s">
        <v>14</v>
      </c>
      <c r="F97">
        <v>42</v>
      </c>
      <c r="G97" t="s">
        <v>17</v>
      </c>
      <c r="H97">
        <v>3</v>
      </c>
      <c r="I97">
        <v>281</v>
      </c>
      <c r="J97">
        <v>843</v>
      </c>
    </row>
    <row r="98" spans="1:10" x14ac:dyDescent="0.3">
      <c r="A98">
        <v>97</v>
      </c>
      <c r="B98" s="1">
        <v>45023</v>
      </c>
      <c r="C98" t="s">
        <v>116</v>
      </c>
      <c r="D98" t="s">
        <v>1</v>
      </c>
      <c r="E98" t="s">
        <v>14</v>
      </c>
      <c r="F98">
        <v>34</v>
      </c>
      <c r="G98" t="s">
        <v>15</v>
      </c>
      <c r="H98">
        <v>2</v>
      </c>
      <c r="I98">
        <v>397</v>
      </c>
      <c r="J98">
        <v>794</v>
      </c>
    </row>
    <row r="99" spans="1:10" x14ac:dyDescent="0.3">
      <c r="A99">
        <v>98</v>
      </c>
      <c r="B99" s="1">
        <v>45024</v>
      </c>
      <c r="C99" t="s">
        <v>117</v>
      </c>
      <c r="D99" t="s">
        <v>2</v>
      </c>
      <c r="E99" t="s">
        <v>14</v>
      </c>
      <c r="F99">
        <v>37</v>
      </c>
      <c r="G99" t="s">
        <v>20</v>
      </c>
      <c r="H99">
        <v>3</v>
      </c>
      <c r="I99">
        <v>395</v>
      </c>
      <c r="J99">
        <v>1185</v>
      </c>
    </row>
    <row r="100" spans="1:10" x14ac:dyDescent="0.3">
      <c r="A100">
        <v>99</v>
      </c>
      <c r="B100" s="1">
        <v>45025</v>
      </c>
      <c r="C100" t="s">
        <v>118</v>
      </c>
      <c r="D100" t="s">
        <v>4</v>
      </c>
      <c r="E100" t="s">
        <v>19</v>
      </c>
      <c r="F100">
        <v>25</v>
      </c>
      <c r="G100" t="s">
        <v>15</v>
      </c>
      <c r="H100">
        <v>2</v>
      </c>
      <c r="I100">
        <v>67</v>
      </c>
      <c r="J100">
        <v>134</v>
      </c>
    </row>
    <row r="101" spans="1:10" x14ac:dyDescent="0.3">
      <c r="A101">
        <v>100</v>
      </c>
      <c r="B101" s="1">
        <v>45026</v>
      </c>
      <c r="C101" t="s">
        <v>119</v>
      </c>
      <c r="D101" t="s">
        <v>2</v>
      </c>
      <c r="E101" t="s">
        <v>19</v>
      </c>
      <c r="F101">
        <v>43</v>
      </c>
      <c r="G101" t="s">
        <v>15</v>
      </c>
      <c r="H101">
        <v>5</v>
      </c>
      <c r="I101">
        <v>482</v>
      </c>
      <c r="J101">
        <v>2410</v>
      </c>
    </row>
    <row r="102" spans="1:10" x14ac:dyDescent="0.3">
      <c r="A102">
        <v>101</v>
      </c>
      <c r="B102" s="1">
        <v>45027</v>
      </c>
      <c r="C102" t="s">
        <v>120</v>
      </c>
      <c r="D102" t="s">
        <v>3</v>
      </c>
      <c r="E102" t="s">
        <v>19</v>
      </c>
      <c r="F102">
        <v>23</v>
      </c>
      <c r="G102" t="s">
        <v>23</v>
      </c>
      <c r="H102">
        <v>2</v>
      </c>
      <c r="I102">
        <v>439</v>
      </c>
      <c r="J102">
        <v>878</v>
      </c>
    </row>
    <row r="103" spans="1:10" x14ac:dyDescent="0.3">
      <c r="A103">
        <v>102</v>
      </c>
      <c r="B103" s="1">
        <v>45028</v>
      </c>
      <c r="C103" t="s">
        <v>121</v>
      </c>
      <c r="D103" t="s">
        <v>4</v>
      </c>
      <c r="E103" t="s">
        <v>14</v>
      </c>
      <c r="F103">
        <v>44</v>
      </c>
      <c r="G103" t="s">
        <v>23</v>
      </c>
      <c r="H103">
        <v>5</v>
      </c>
      <c r="I103">
        <v>245</v>
      </c>
      <c r="J103">
        <v>1225</v>
      </c>
    </row>
    <row r="104" spans="1:10" x14ac:dyDescent="0.3">
      <c r="A104">
        <v>103</v>
      </c>
      <c r="B104" s="1">
        <v>45029</v>
      </c>
      <c r="C104" t="s">
        <v>122</v>
      </c>
      <c r="D104" t="s">
        <v>2</v>
      </c>
      <c r="E104" t="s">
        <v>14</v>
      </c>
      <c r="F104">
        <v>42</v>
      </c>
      <c r="G104" t="s">
        <v>17</v>
      </c>
      <c r="H104">
        <v>3</v>
      </c>
      <c r="I104">
        <v>303</v>
      </c>
      <c r="J104">
        <v>909</v>
      </c>
    </row>
    <row r="105" spans="1:10" x14ac:dyDescent="0.3">
      <c r="A105">
        <v>104</v>
      </c>
      <c r="B105" s="1">
        <v>45030</v>
      </c>
      <c r="C105" t="s">
        <v>123</v>
      </c>
      <c r="D105" t="s">
        <v>2</v>
      </c>
      <c r="E105" t="s">
        <v>14</v>
      </c>
      <c r="F105">
        <v>36</v>
      </c>
      <c r="G105" t="s">
        <v>15</v>
      </c>
      <c r="H105">
        <v>4</v>
      </c>
      <c r="I105">
        <v>175</v>
      </c>
      <c r="J105">
        <v>700</v>
      </c>
    </row>
    <row r="106" spans="1:10" x14ac:dyDescent="0.3">
      <c r="A106">
        <v>105</v>
      </c>
      <c r="B106" s="1">
        <v>45031</v>
      </c>
      <c r="C106" t="s">
        <v>124</v>
      </c>
      <c r="D106" t="s">
        <v>2</v>
      </c>
      <c r="E106" t="s">
        <v>19</v>
      </c>
      <c r="F106">
        <v>42</v>
      </c>
      <c r="G106" t="s">
        <v>27</v>
      </c>
      <c r="H106">
        <v>5</v>
      </c>
      <c r="I106">
        <v>406</v>
      </c>
      <c r="J106">
        <v>2030</v>
      </c>
    </row>
    <row r="107" spans="1:10" x14ac:dyDescent="0.3">
      <c r="A107">
        <v>106</v>
      </c>
      <c r="B107" s="1">
        <v>45032</v>
      </c>
      <c r="C107" t="s">
        <v>125</v>
      </c>
      <c r="D107" t="s">
        <v>2</v>
      </c>
      <c r="E107" t="s">
        <v>14</v>
      </c>
      <c r="F107">
        <v>37</v>
      </c>
      <c r="G107" t="s">
        <v>15</v>
      </c>
      <c r="H107">
        <v>4</v>
      </c>
      <c r="I107">
        <v>497</v>
      </c>
      <c r="J107">
        <v>1988</v>
      </c>
    </row>
    <row r="108" spans="1:10" x14ac:dyDescent="0.3">
      <c r="A108">
        <v>107</v>
      </c>
      <c r="B108" s="1">
        <v>45033</v>
      </c>
      <c r="C108" t="s">
        <v>126</v>
      </c>
      <c r="D108" t="s">
        <v>4</v>
      </c>
      <c r="E108" t="s">
        <v>14</v>
      </c>
      <c r="F108">
        <v>19</v>
      </c>
      <c r="G108" t="s">
        <v>20</v>
      </c>
      <c r="H108">
        <v>3</v>
      </c>
      <c r="I108">
        <v>99</v>
      </c>
      <c r="J108">
        <v>297</v>
      </c>
    </row>
    <row r="109" spans="1:10" x14ac:dyDescent="0.3">
      <c r="A109">
        <v>108</v>
      </c>
      <c r="B109" s="1">
        <v>45034</v>
      </c>
      <c r="C109" t="s">
        <v>127</v>
      </c>
      <c r="D109" t="s">
        <v>3</v>
      </c>
      <c r="E109" t="s">
        <v>14</v>
      </c>
      <c r="F109">
        <v>41</v>
      </c>
      <c r="G109" t="s">
        <v>15</v>
      </c>
      <c r="H109">
        <v>4</v>
      </c>
      <c r="I109">
        <v>186</v>
      </c>
      <c r="J109">
        <v>744</v>
      </c>
    </row>
    <row r="110" spans="1:10" x14ac:dyDescent="0.3">
      <c r="A110">
        <v>109</v>
      </c>
      <c r="B110" s="1">
        <v>45035</v>
      </c>
      <c r="C110" t="s">
        <v>128</v>
      </c>
      <c r="D110" t="s">
        <v>2</v>
      </c>
      <c r="E110" t="s">
        <v>14</v>
      </c>
      <c r="F110">
        <v>50</v>
      </c>
      <c r="G110" t="s">
        <v>20</v>
      </c>
      <c r="H110">
        <v>1</v>
      </c>
      <c r="I110">
        <v>157</v>
      </c>
      <c r="J110">
        <v>157</v>
      </c>
    </row>
    <row r="111" spans="1:10" x14ac:dyDescent="0.3">
      <c r="A111">
        <v>110</v>
      </c>
      <c r="B111" s="1">
        <v>45036</v>
      </c>
      <c r="C111" t="s">
        <v>129</v>
      </c>
      <c r="D111" t="s">
        <v>4</v>
      </c>
      <c r="E111" t="s">
        <v>19</v>
      </c>
      <c r="F111">
        <v>45</v>
      </c>
      <c r="G111" t="s">
        <v>27</v>
      </c>
      <c r="H111">
        <v>1</v>
      </c>
      <c r="I111">
        <v>440</v>
      </c>
      <c r="J111">
        <v>440</v>
      </c>
    </row>
    <row r="112" spans="1:10" x14ac:dyDescent="0.3">
      <c r="A112">
        <v>111</v>
      </c>
      <c r="B112" s="1">
        <v>45037</v>
      </c>
      <c r="C112" t="s">
        <v>130</v>
      </c>
      <c r="D112" t="s">
        <v>3</v>
      </c>
      <c r="E112" t="s">
        <v>19</v>
      </c>
      <c r="F112">
        <v>22</v>
      </c>
      <c r="G112" t="s">
        <v>15</v>
      </c>
      <c r="H112">
        <v>1</v>
      </c>
      <c r="I112">
        <v>85</v>
      </c>
      <c r="J112">
        <v>85</v>
      </c>
    </row>
    <row r="113" spans="1:10" x14ac:dyDescent="0.3">
      <c r="A113">
        <v>112</v>
      </c>
      <c r="B113" s="1">
        <v>45038</v>
      </c>
      <c r="C113" t="s">
        <v>131</v>
      </c>
      <c r="D113" t="s">
        <v>2</v>
      </c>
      <c r="E113" t="s">
        <v>19</v>
      </c>
      <c r="F113">
        <v>41</v>
      </c>
      <c r="G113" t="s">
        <v>15</v>
      </c>
      <c r="H113">
        <v>3</v>
      </c>
      <c r="I113">
        <v>295</v>
      </c>
      <c r="J113">
        <v>885</v>
      </c>
    </row>
    <row r="114" spans="1:10" x14ac:dyDescent="0.3">
      <c r="A114">
        <v>113</v>
      </c>
      <c r="B114" s="1">
        <v>45039</v>
      </c>
      <c r="C114" t="s">
        <v>132</v>
      </c>
      <c r="D114" t="s">
        <v>3</v>
      </c>
      <c r="E114" t="s">
        <v>19</v>
      </c>
      <c r="F114">
        <v>25</v>
      </c>
      <c r="G114" t="s">
        <v>23</v>
      </c>
      <c r="H114">
        <v>2</v>
      </c>
      <c r="I114">
        <v>366</v>
      </c>
      <c r="J114">
        <v>732</v>
      </c>
    </row>
    <row r="115" spans="1:10" x14ac:dyDescent="0.3">
      <c r="A115">
        <v>114</v>
      </c>
      <c r="B115" s="1">
        <v>45040</v>
      </c>
      <c r="C115" t="s">
        <v>133</v>
      </c>
      <c r="D115" t="s">
        <v>3</v>
      </c>
      <c r="E115" t="s">
        <v>19</v>
      </c>
      <c r="F115">
        <v>38</v>
      </c>
      <c r="G115" t="s">
        <v>27</v>
      </c>
      <c r="H115">
        <v>2</v>
      </c>
      <c r="I115">
        <v>419</v>
      </c>
      <c r="J115">
        <v>838</v>
      </c>
    </row>
    <row r="116" spans="1:10" x14ac:dyDescent="0.3">
      <c r="A116">
        <v>115</v>
      </c>
      <c r="B116" s="1">
        <v>45041</v>
      </c>
      <c r="C116" t="s">
        <v>134</v>
      </c>
      <c r="D116" t="s">
        <v>4</v>
      </c>
      <c r="E116" t="s">
        <v>14</v>
      </c>
      <c r="F116">
        <v>31</v>
      </c>
      <c r="G116" t="s">
        <v>17</v>
      </c>
      <c r="H116">
        <v>4</v>
      </c>
      <c r="I116">
        <v>28</v>
      </c>
      <c r="J116">
        <v>112</v>
      </c>
    </row>
    <row r="117" spans="1:10" x14ac:dyDescent="0.3">
      <c r="A117">
        <v>116</v>
      </c>
      <c r="B117" s="1">
        <v>45042</v>
      </c>
      <c r="C117" t="s">
        <v>135</v>
      </c>
      <c r="D117" t="s">
        <v>3</v>
      </c>
      <c r="E117" t="s">
        <v>19</v>
      </c>
      <c r="F117">
        <v>20</v>
      </c>
      <c r="G117" t="s">
        <v>23</v>
      </c>
      <c r="H117">
        <v>3</v>
      </c>
      <c r="I117">
        <v>268</v>
      </c>
      <c r="J117">
        <v>804</v>
      </c>
    </row>
    <row r="118" spans="1:10" x14ac:dyDescent="0.3">
      <c r="A118">
        <v>117</v>
      </c>
      <c r="B118" s="1">
        <v>45043</v>
      </c>
      <c r="C118" t="s">
        <v>136</v>
      </c>
      <c r="D118" t="s">
        <v>4</v>
      </c>
      <c r="E118" t="s">
        <v>19</v>
      </c>
      <c r="F118">
        <v>18</v>
      </c>
      <c r="G118" t="s">
        <v>20</v>
      </c>
      <c r="H118">
        <v>4</v>
      </c>
      <c r="I118">
        <v>434</v>
      </c>
      <c r="J118">
        <v>1736</v>
      </c>
    </row>
    <row r="119" spans="1:10" x14ac:dyDescent="0.3">
      <c r="A119">
        <v>118</v>
      </c>
      <c r="B119" s="1">
        <v>45044</v>
      </c>
      <c r="C119" t="s">
        <v>137</v>
      </c>
      <c r="D119" t="s">
        <v>2</v>
      </c>
      <c r="E119" t="s">
        <v>19</v>
      </c>
      <c r="F119">
        <v>53</v>
      </c>
      <c r="G119" t="s">
        <v>15</v>
      </c>
      <c r="H119">
        <v>3</v>
      </c>
      <c r="I119">
        <v>85</v>
      </c>
      <c r="J119">
        <v>255</v>
      </c>
    </row>
    <row r="120" spans="1:10" x14ac:dyDescent="0.3">
      <c r="A120">
        <v>119</v>
      </c>
      <c r="B120" s="1">
        <v>45045</v>
      </c>
      <c r="C120" t="s">
        <v>138</v>
      </c>
      <c r="D120" t="s">
        <v>3</v>
      </c>
      <c r="E120" t="s">
        <v>19</v>
      </c>
      <c r="F120">
        <v>34</v>
      </c>
      <c r="G120" t="s">
        <v>15</v>
      </c>
      <c r="H120">
        <v>3</v>
      </c>
      <c r="I120">
        <v>121</v>
      </c>
      <c r="J120">
        <v>363</v>
      </c>
    </row>
    <row r="121" spans="1:10" x14ac:dyDescent="0.3">
      <c r="A121">
        <v>120</v>
      </c>
      <c r="B121" s="1">
        <v>45046</v>
      </c>
      <c r="C121" t="s">
        <v>139</v>
      </c>
      <c r="D121" t="s">
        <v>3</v>
      </c>
      <c r="E121" t="s">
        <v>19</v>
      </c>
      <c r="F121">
        <v>53</v>
      </c>
      <c r="G121" t="s">
        <v>27</v>
      </c>
      <c r="H121">
        <v>1</v>
      </c>
      <c r="I121">
        <v>275</v>
      </c>
      <c r="J121">
        <v>275</v>
      </c>
    </row>
    <row r="122" spans="1:10" x14ac:dyDescent="0.3">
      <c r="A122">
        <v>121</v>
      </c>
      <c r="B122" s="1">
        <v>45047</v>
      </c>
      <c r="C122" t="s">
        <v>140</v>
      </c>
      <c r="D122" t="s">
        <v>1</v>
      </c>
      <c r="E122" t="s">
        <v>14</v>
      </c>
      <c r="F122">
        <v>43</v>
      </c>
      <c r="G122" t="s">
        <v>15</v>
      </c>
      <c r="H122">
        <v>2</v>
      </c>
      <c r="I122">
        <v>160</v>
      </c>
      <c r="J122">
        <v>320</v>
      </c>
    </row>
    <row r="123" spans="1:10" x14ac:dyDescent="0.3">
      <c r="A123">
        <v>122</v>
      </c>
      <c r="B123" s="1">
        <v>45048</v>
      </c>
      <c r="C123" t="s">
        <v>141</v>
      </c>
      <c r="D123" t="s">
        <v>2</v>
      </c>
      <c r="E123" t="s">
        <v>19</v>
      </c>
      <c r="F123">
        <v>54</v>
      </c>
      <c r="G123" t="s">
        <v>15</v>
      </c>
      <c r="H123">
        <v>5</v>
      </c>
      <c r="I123">
        <v>439</v>
      </c>
      <c r="J123">
        <v>2195</v>
      </c>
    </row>
    <row r="124" spans="1:10" x14ac:dyDescent="0.3">
      <c r="A124">
        <v>123</v>
      </c>
      <c r="B124" s="1">
        <v>45049</v>
      </c>
      <c r="C124" t="s">
        <v>142</v>
      </c>
      <c r="D124" t="s">
        <v>2</v>
      </c>
      <c r="E124" t="s">
        <v>14</v>
      </c>
      <c r="F124">
        <v>28</v>
      </c>
      <c r="G124" t="s">
        <v>27</v>
      </c>
      <c r="H124">
        <v>1</v>
      </c>
      <c r="I124">
        <v>243</v>
      </c>
      <c r="J124">
        <v>243</v>
      </c>
    </row>
    <row r="125" spans="1:10" x14ac:dyDescent="0.3">
      <c r="A125">
        <v>124</v>
      </c>
      <c r="B125" s="1">
        <v>45050</v>
      </c>
      <c r="C125" t="s">
        <v>143</v>
      </c>
      <c r="D125" t="s">
        <v>1</v>
      </c>
      <c r="E125" t="s">
        <v>14</v>
      </c>
      <c r="F125">
        <v>34</v>
      </c>
      <c r="G125" t="s">
        <v>17</v>
      </c>
      <c r="H125">
        <v>1</v>
      </c>
      <c r="I125">
        <v>460</v>
      </c>
      <c r="J125">
        <v>460</v>
      </c>
    </row>
    <row r="126" spans="1:10" x14ac:dyDescent="0.3">
      <c r="A126">
        <v>125</v>
      </c>
      <c r="B126" s="1">
        <v>45051</v>
      </c>
      <c r="C126" t="s">
        <v>144</v>
      </c>
      <c r="D126" t="s">
        <v>1</v>
      </c>
      <c r="E126" t="s">
        <v>14</v>
      </c>
      <c r="F126">
        <v>52</v>
      </c>
      <c r="G126" t="s">
        <v>17</v>
      </c>
      <c r="H126">
        <v>1</v>
      </c>
      <c r="I126">
        <v>418</v>
      </c>
      <c r="J126">
        <v>418</v>
      </c>
    </row>
    <row r="127" spans="1:10" x14ac:dyDescent="0.3">
      <c r="A127">
        <v>126</v>
      </c>
      <c r="B127" s="1">
        <v>45052</v>
      </c>
      <c r="C127" t="s">
        <v>145</v>
      </c>
      <c r="D127" t="s">
        <v>4</v>
      </c>
      <c r="E127" t="s">
        <v>14</v>
      </c>
      <c r="F127">
        <v>52</v>
      </c>
      <c r="G127" t="s">
        <v>15</v>
      </c>
      <c r="H127">
        <v>4</v>
      </c>
      <c r="I127">
        <v>325</v>
      </c>
      <c r="J127">
        <v>1300</v>
      </c>
    </row>
    <row r="128" spans="1:10" x14ac:dyDescent="0.3">
      <c r="A128">
        <v>127</v>
      </c>
      <c r="B128" s="1">
        <v>45053</v>
      </c>
      <c r="C128" t="s">
        <v>146</v>
      </c>
      <c r="D128" t="s">
        <v>4</v>
      </c>
      <c r="E128" t="s">
        <v>19</v>
      </c>
      <c r="F128">
        <v>36</v>
      </c>
      <c r="G128" t="s">
        <v>27</v>
      </c>
      <c r="H128">
        <v>4</v>
      </c>
      <c r="I128">
        <v>455</v>
      </c>
      <c r="J128">
        <v>1820</v>
      </c>
    </row>
    <row r="129" spans="1:10" x14ac:dyDescent="0.3">
      <c r="A129">
        <v>128</v>
      </c>
      <c r="B129" s="1">
        <v>45054</v>
      </c>
      <c r="C129" t="s">
        <v>147</v>
      </c>
      <c r="D129" t="s">
        <v>3</v>
      </c>
      <c r="E129" t="s">
        <v>14</v>
      </c>
      <c r="F129">
        <v>40</v>
      </c>
      <c r="G129" t="s">
        <v>20</v>
      </c>
      <c r="H129">
        <v>4</v>
      </c>
      <c r="I129">
        <v>152</v>
      </c>
      <c r="J129">
        <v>608</v>
      </c>
    </row>
    <row r="130" spans="1:10" x14ac:dyDescent="0.3">
      <c r="A130">
        <v>129</v>
      </c>
      <c r="B130" s="1">
        <v>45055</v>
      </c>
      <c r="C130" t="s">
        <v>148</v>
      </c>
      <c r="D130" t="s">
        <v>3</v>
      </c>
      <c r="E130" t="s">
        <v>14</v>
      </c>
      <c r="F130">
        <v>43</v>
      </c>
      <c r="G130" t="s">
        <v>17</v>
      </c>
      <c r="H130">
        <v>1</v>
      </c>
      <c r="I130">
        <v>275</v>
      </c>
      <c r="J130">
        <v>275</v>
      </c>
    </row>
    <row r="131" spans="1:10" x14ac:dyDescent="0.3">
      <c r="A131">
        <v>130</v>
      </c>
      <c r="B131" s="1">
        <v>45056</v>
      </c>
      <c r="C131" t="s">
        <v>149</v>
      </c>
      <c r="D131" t="s">
        <v>3</v>
      </c>
      <c r="E131" t="s">
        <v>14</v>
      </c>
      <c r="F131">
        <v>24</v>
      </c>
      <c r="G131" t="s">
        <v>27</v>
      </c>
      <c r="H131">
        <v>2</v>
      </c>
      <c r="I131">
        <v>258</v>
      </c>
      <c r="J131">
        <v>516</v>
      </c>
    </row>
    <row r="132" spans="1:10" x14ac:dyDescent="0.3">
      <c r="A132">
        <v>131</v>
      </c>
      <c r="B132" s="1">
        <v>45057</v>
      </c>
      <c r="C132" t="s">
        <v>150</v>
      </c>
      <c r="D132" t="s">
        <v>3</v>
      </c>
      <c r="E132" t="s">
        <v>14</v>
      </c>
      <c r="F132">
        <v>43</v>
      </c>
      <c r="G132" t="s">
        <v>23</v>
      </c>
      <c r="H132">
        <v>3</v>
      </c>
      <c r="I132">
        <v>76</v>
      </c>
      <c r="J132">
        <v>228</v>
      </c>
    </row>
    <row r="133" spans="1:10" x14ac:dyDescent="0.3">
      <c r="A133">
        <v>132</v>
      </c>
      <c r="B133" s="1">
        <v>45058</v>
      </c>
      <c r="C133" t="s">
        <v>151</v>
      </c>
      <c r="D133" t="s">
        <v>4</v>
      </c>
      <c r="E133" t="s">
        <v>14</v>
      </c>
      <c r="F133">
        <v>28</v>
      </c>
      <c r="G133" t="s">
        <v>23</v>
      </c>
      <c r="H133">
        <v>4</v>
      </c>
      <c r="I133">
        <v>119</v>
      </c>
      <c r="J133">
        <v>476</v>
      </c>
    </row>
    <row r="134" spans="1:10" x14ac:dyDescent="0.3">
      <c r="A134">
        <v>133</v>
      </c>
      <c r="B134" s="1">
        <v>45059</v>
      </c>
      <c r="C134" t="s">
        <v>152</v>
      </c>
      <c r="D134" t="s">
        <v>2</v>
      </c>
      <c r="E134" t="s">
        <v>14</v>
      </c>
      <c r="F134">
        <v>18</v>
      </c>
      <c r="G134" t="s">
        <v>27</v>
      </c>
      <c r="H134">
        <v>4</v>
      </c>
      <c r="I134">
        <v>101</v>
      </c>
      <c r="J134">
        <v>404</v>
      </c>
    </row>
    <row r="135" spans="1:10" x14ac:dyDescent="0.3">
      <c r="A135">
        <v>134</v>
      </c>
      <c r="B135" s="1">
        <v>45060</v>
      </c>
      <c r="C135" t="s">
        <v>153</v>
      </c>
      <c r="D135" t="s">
        <v>3</v>
      </c>
      <c r="E135" t="s">
        <v>19</v>
      </c>
      <c r="F135">
        <v>56</v>
      </c>
      <c r="G135" t="s">
        <v>17</v>
      </c>
      <c r="H135">
        <v>4</v>
      </c>
      <c r="I135">
        <v>58</v>
      </c>
      <c r="J135">
        <v>232</v>
      </c>
    </row>
    <row r="136" spans="1:10" x14ac:dyDescent="0.3">
      <c r="A136">
        <v>135</v>
      </c>
      <c r="B136" s="1">
        <v>45061</v>
      </c>
      <c r="C136" t="s">
        <v>154</v>
      </c>
      <c r="D136" t="s">
        <v>2</v>
      </c>
      <c r="E136" t="s">
        <v>19</v>
      </c>
      <c r="F136">
        <v>19</v>
      </c>
      <c r="G136" t="s">
        <v>17</v>
      </c>
      <c r="H136">
        <v>3</v>
      </c>
      <c r="I136">
        <v>72</v>
      </c>
      <c r="J136">
        <v>216</v>
      </c>
    </row>
    <row r="137" spans="1:10" x14ac:dyDescent="0.3">
      <c r="A137">
        <v>136</v>
      </c>
      <c r="B137" s="1">
        <v>45062</v>
      </c>
      <c r="C137" t="s">
        <v>155</v>
      </c>
      <c r="D137" t="s">
        <v>3</v>
      </c>
      <c r="E137" t="s">
        <v>19</v>
      </c>
      <c r="F137">
        <v>22</v>
      </c>
      <c r="G137" t="s">
        <v>15</v>
      </c>
      <c r="H137">
        <v>3</v>
      </c>
      <c r="I137">
        <v>22</v>
      </c>
      <c r="J137">
        <v>66</v>
      </c>
    </row>
    <row r="138" spans="1:10" x14ac:dyDescent="0.3">
      <c r="A138">
        <v>137</v>
      </c>
      <c r="B138" s="1">
        <v>45063</v>
      </c>
      <c r="C138" t="s">
        <v>156</v>
      </c>
      <c r="D138" t="s">
        <v>1</v>
      </c>
      <c r="E138" t="s">
        <v>19</v>
      </c>
      <c r="F138">
        <v>57</v>
      </c>
      <c r="G138" t="s">
        <v>17</v>
      </c>
      <c r="H138">
        <v>2</v>
      </c>
      <c r="I138">
        <v>248</v>
      </c>
      <c r="J138">
        <v>496</v>
      </c>
    </row>
    <row r="139" spans="1:10" x14ac:dyDescent="0.3">
      <c r="A139">
        <v>138</v>
      </c>
      <c r="B139" s="1">
        <v>45064</v>
      </c>
      <c r="C139" t="s">
        <v>157</v>
      </c>
      <c r="D139" t="s">
        <v>3</v>
      </c>
      <c r="E139" t="s">
        <v>19</v>
      </c>
      <c r="F139">
        <v>31</v>
      </c>
      <c r="G139" t="s">
        <v>20</v>
      </c>
      <c r="H139">
        <v>1</v>
      </c>
      <c r="I139">
        <v>311</v>
      </c>
      <c r="J139">
        <v>311</v>
      </c>
    </row>
    <row r="140" spans="1:10" x14ac:dyDescent="0.3">
      <c r="A140">
        <v>139</v>
      </c>
      <c r="B140" s="1">
        <v>45065</v>
      </c>
      <c r="C140" t="s">
        <v>158</v>
      </c>
      <c r="D140" t="s">
        <v>3</v>
      </c>
      <c r="E140" t="s">
        <v>19</v>
      </c>
      <c r="F140">
        <v>18</v>
      </c>
      <c r="G140" t="s">
        <v>27</v>
      </c>
      <c r="H140">
        <v>5</v>
      </c>
      <c r="I140">
        <v>466</v>
      </c>
      <c r="J140">
        <v>2330</v>
      </c>
    </row>
    <row r="141" spans="1:10" x14ac:dyDescent="0.3">
      <c r="A141">
        <v>140</v>
      </c>
      <c r="B141" s="1">
        <v>45066</v>
      </c>
      <c r="C141" t="s">
        <v>159</v>
      </c>
      <c r="D141" t="s">
        <v>3</v>
      </c>
      <c r="E141" t="s">
        <v>19</v>
      </c>
      <c r="F141">
        <v>19</v>
      </c>
      <c r="G141" t="s">
        <v>23</v>
      </c>
      <c r="H141">
        <v>2</v>
      </c>
      <c r="I141">
        <v>178</v>
      </c>
      <c r="J141">
        <v>356</v>
      </c>
    </row>
    <row r="142" spans="1:10" x14ac:dyDescent="0.3">
      <c r="A142">
        <v>141</v>
      </c>
      <c r="B142" s="1">
        <v>45067</v>
      </c>
      <c r="C142" t="s">
        <v>160</v>
      </c>
      <c r="D142" t="s">
        <v>4</v>
      </c>
      <c r="E142" t="s">
        <v>19</v>
      </c>
      <c r="F142">
        <v>38</v>
      </c>
      <c r="G142" t="s">
        <v>17</v>
      </c>
      <c r="H142">
        <v>3</v>
      </c>
      <c r="I142">
        <v>36</v>
      </c>
      <c r="J142">
        <v>108</v>
      </c>
    </row>
    <row r="143" spans="1:10" x14ac:dyDescent="0.3">
      <c r="A143">
        <v>142</v>
      </c>
      <c r="B143" s="1">
        <v>45068</v>
      </c>
      <c r="C143" t="s">
        <v>161</v>
      </c>
      <c r="D143" t="s">
        <v>1</v>
      </c>
      <c r="E143" t="s">
        <v>14</v>
      </c>
      <c r="F143">
        <v>18</v>
      </c>
      <c r="G143" t="s">
        <v>15</v>
      </c>
      <c r="H143">
        <v>5</v>
      </c>
      <c r="I143">
        <v>20</v>
      </c>
      <c r="J143">
        <v>100</v>
      </c>
    </row>
    <row r="144" spans="1:10" x14ac:dyDescent="0.3">
      <c r="A144">
        <v>143</v>
      </c>
      <c r="B144" s="1">
        <v>45069</v>
      </c>
      <c r="C144" t="s">
        <v>162</v>
      </c>
      <c r="D144" t="s">
        <v>3</v>
      </c>
      <c r="E144" t="s">
        <v>14</v>
      </c>
      <c r="F144">
        <v>43</v>
      </c>
      <c r="G144" t="s">
        <v>27</v>
      </c>
      <c r="H144">
        <v>5</v>
      </c>
      <c r="I144">
        <v>210</v>
      </c>
      <c r="J144">
        <v>1050</v>
      </c>
    </row>
    <row r="145" spans="1:10" x14ac:dyDescent="0.3">
      <c r="A145">
        <v>144</v>
      </c>
      <c r="B145" s="1">
        <v>45070</v>
      </c>
      <c r="C145" t="s">
        <v>163</v>
      </c>
      <c r="D145" t="s">
        <v>3</v>
      </c>
      <c r="E145" t="s">
        <v>14</v>
      </c>
      <c r="F145">
        <v>58</v>
      </c>
      <c r="G145" t="s">
        <v>23</v>
      </c>
      <c r="H145">
        <v>4</v>
      </c>
      <c r="I145">
        <v>437</v>
      </c>
      <c r="J145">
        <v>1748</v>
      </c>
    </row>
    <row r="146" spans="1:10" x14ac:dyDescent="0.3">
      <c r="A146">
        <v>145</v>
      </c>
      <c r="B146" s="1">
        <v>45071</v>
      </c>
      <c r="C146" t="s">
        <v>164</v>
      </c>
      <c r="D146" t="s">
        <v>2</v>
      </c>
      <c r="E146" t="s">
        <v>14</v>
      </c>
      <c r="F146">
        <v>56</v>
      </c>
      <c r="G146" t="s">
        <v>20</v>
      </c>
      <c r="H146">
        <v>1</v>
      </c>
      <c r="I146">
        <v>174</v>
      </c>
      <c r="J146">
        <v>174</v>
      </c>
    </row>
    <row r="147" spans="1:10" x14ac:dyDescent="0.3">
      <c r="A147">
        <v>146</v>
      </c>
      <c r="B147" s="1">
        <v>45072</v>
      </c>
      <c r="C147" t="s">
        <v>165</v>
      </c>
      <c r="D147" t="s">
        <v>1</v>
      </c>
      <c r="E147" t="s">
        <v>14</v>
      </c>
      <c r="F147">
        <v>45</v>
      </c>
      <c r="G147" t="s">
        <v>20</v>
      </c>
      <c r="H147">
        <v>4</v>
      </c>
      <c r="I147">
        <v>337</v>
      </c>
      <c r="J147">
        <v>1348</v>
      </c>
    </row>
    <row r="148" spans="1:10" x14ac:dyDescent="0.3">
      <c r="A148">
        <v>147</v>
      </c>
      <c r="B148" s="1">
        <v>45073</v>
      </c>
      <c r="C148" t="s">
        <v>166</v>
      </c>
      <c r="D148" t="s">
        <v>3</v>
      </c>
      <c r="E148" t="s">
        <v>14</v>
      </c>
      <c r="F148">
        <v>52</v>
      </c>
      <c r="G148" t="s">
        <v>27</v>
      </c>
      <c r="H148">
        <v>4</v>
      </c>
      <c r="I148">
        <v>356</v>
      </c>
      <c r="J148">
        <v>1424</v>
      </c>
    </row>
    <row r="149" spans="1:10" x14ac:dyDescent="0.3">
      <c r="A149">
        <v>148</v>
      </c>
      <c r="B149" s="1">
        <v>45074</v>
      </c>
      <c r="C149" t="s">
        <v>167</v>
      </c>
      <c r="D149" t="s">
        <v>2</v>
      </c>
      <c r="E149" t="s">
        <v>19</v>
      </c>
      <c r="F149">
        <v>18</v>
      </c>
      <c r="G149" t="s">
        <v>27</v>
      </c>
      <c r="H149">
        <v>4</v>
      </c>
      <c r="I149">
        <v>326</v>
      </c>
      <c r="J149">
        <v>1304</v>
      </c>
    </row>
    <row r="150" spans="1:10" x14ac:dyDescent="0.3">
      <c r="A150">
        <v>149</v>
      </c>
      <c r="B150" s="1">
        <v>45075</v>
      </c>
      <c r="C150" t="s">
        <v>168</v>
      </c>
      <c r="D150" t="s">
        <v>2</v>
      </c>
      <c r="E150" t="s">
        <v>14</v>
      </c>
      <c r="F150">
        <v>38</v>
      </c>
      <c r="G150" t="s">
        <v>15</v>
      </c>
      <c r="H150">
        <v>5</v>
      </c>
      <c r="I150">
        <v>343</v>
      </c>
      <c r="J150">
        <v>1715</v>
      </c>
    </row>
    <row r="151" spans="1:10" x14ac:dyDescent="0.3">
      <c r="A151">
        <v>150</v>
      </c>
      <c r="B151" s="1">
        <v>45076</v>
      </c>
      <c r="C151" t="s">
        <v>169</v>
      </c>
      <c r="D151" t="s">
        <v>4</v>
      </c>
      <c r="E151" t="s">
        <v>14</v>
      </c>
      <c r="F151">
        <v>25</v>
      </c>
      <c r="G151" t="s">
        <v>15</v>
      </c>
      <c r="H151">
        <v>3</v>
      </c>
      <c r="I151">
        <v>133</v>
      </c>
      <c r="J151">
        <v>399</v>
      </c>
    </row>
    <row r="152" spans="1:10" x14ac:dyDescent="0.3">
      <c r="A152">
        <v>151</v>
      </c>
      <c r="B152" s="1">
        <v>45077</v>
      </c>
      <c r="C152" t="s">
        <v>170</v>
      </c>
      <c r="D152" t="s">
        <v>2</v>
      </c>
      <c r="E152" t="s">
        <v>14</v>
      </c>
      <c r="F152">
        <v>53</v>
      </c>
      <c r="G152" t="s">
        <v>20</v>
      </c>
      <c r="H152">
        <v>5</v>
      </c>
      <c r="I152">
        <v>483</v>
      </c>
      <c r="J152">
        <v>2415</v>
      </c>
    </row>
    <row r="153" spans="1:10" x14ac:dyDescent="0.3">
      <c r="A153">
        <v>152</v>
      </c>
      <c r="B153" s="1">
        <v>45078</v>
      </c>
      <c r="C153" t="s">
        <v>171</v>
      </c>
      <c r="D153" t="s">
        <v>3</v>
      </c>
      <c r="E153" t="s">
        <v>19</v>
      </c>
      <c r="F153">
        <v>54</v>
      </c>
      <c r="G153" t="s">
        <v>17</v>
      </c>
      <c r="H153">
        <v>5</v>
      </c>
      <c r="I153">
        <v>454</v>
      </c>
      <c r="J153">
        <v>2270</v>
      </c>
    </row>
    <row r="154" spans="1:10" x14ac:dyDescent="0.3">
      <c r="A154">
        <v>153</v>
      </c>
      <c r="B154" s="1">
        <v>45079</v>
      </c>
      <c r="C154" t="s">
        <v>172</v>
      </c>
      <c r="D154" t="s">
        <v>4</v>
      </c>
      <c r="E154" t="s">
        <v>14</v>
      </c>
      <c r="F154">
        <v>59</v>
      </c>
      <c r="G154" t="s">
        <v>27</v>
      </c>
      <c r="H154">
        <v>2</v>
      </c>
      <c r="I154">
        <v>293</v>
      </c>
      <c r="J154">
        <v>586</v>
      </c>
    </row>
    <row r="155" spans="1:10" x14ac:dyDescent="0.3">
      <c r="A155">
        <v>154</v>
      </c>
      <c r="B155" s="1">
        <v>45080</v>
      </c>
      <c r="C155" t="s">
        <v>173</v>
      </c>
      <c r="D155" t="s">
        <v>4</v>
      </c>
      <c r="E155" t="s">
        <v>19</v>
      </c>
      <c r="F155">
        <v>44</v>
      </c>
      <c r="G155" t="s">
        <v>17</v>
      </c>
      <c r="H155">
        <v>4</v>
      </c>
      <c r="I155">
        <v>393</v>
      </c>
      <c r="J155">
        <v>1572</v>
      </c>
    </row>
    <row r="156" spans="1:10" x14ac:dyDescent="0.3">
      <c r="A156">
        <v>155</v>
      </c>
      <c r="B156" s="1">
        <v>45081</v>
      </c>
      <c r="C156" t="s">
        <v>174</v>
      </c>
      <c r="D156" t="s">
        <v>3</v>
      </c>
      <c r="E156" t="s">
        <v>14</v>
      </c>
      <c r="F156">
        <v>22</v>
      </c>
      <c r="G156" t="s">
        <v>15</v>
      </c>
      <c r="H156">
        <v>2</v>
      </c>
      <c r="I156">
        <v>319</v>
      </c>
      <c r="J156">
        <v>638</v>
      </c>
    </row>
    <row r="157" spans="1:10" x14ac:dyDescent="0.3">
      <c r="A157">
        <v>156</v>
      </c>
      <c r="B157" s="1">
        <v>45082</v>
      </c>
      <c r="C157" t="s">
        <v>175</v>
      </c>
      <c r="D157" t="s">
        <v>1</v>
      </c>
      <c r="E157" t="s">
        <v>14</v>
      </c>
      <c r="F157">
        <v>24</v>
      </c>
      <c r="G157" t="s">
        <v>17</v>
      </c>
      <c r="H157">
        <v>2</v>
      </c>
      <c r="I157">
        <v>182</v>
      </c>
      <c r="J157">
        <v>364</v>
      </c>
    </row>
    <row r="158" spans="1:10" x14ac:dyDescent="0.3">
      <c r="A158">
        <v>157</v>
      </c>
      <c r="B158" s="1">
        <v>45083</v>
      </c>
      <c r="C158" t="s">
        <v>176</v>
      </c>
      <c r="D158" t="s">
        <v>2</v>
      </c>
      <c r="E158" t="s">
        <v>14</v>
      </c>
      <c r="F158">
        <v>34</v>
      </c>
      <c r="G158" t="s">
        <v>20</v>
      </c>
      <c r="H158">
        <v>1</v>
      </c>
      <c r="I158">
        <v>59</v>
      </c>
      <c r="J158">
        <v>59</v>
      </c>
    </row>
    <row r="159" spans="1:10" x14ac:dyDescent="0.3">
      <c r="A159">
        <v>158</v>
      </c>
      <c r="B159" s="1">
        <v>45084</v>
      </c>
      <c r="C159" t="s">
        <v>177</v>
      </c>
      <c r="D159" t="s">
        <v>4</v>
      </c>
      <c r="E159" t="s">
        <v>19</v>
      </c>
      <c r="F159">
        <v>51</v>
      </c>
      <c r="G159" t="s">
        <v>17</v>
      </c>
      <c r="H159">
        <v>2</v>
      </c>
      <c r="I159">
        <v>475</v>
      </c>
      <c r="J159">
        <v>950</v>
      </c>
    </row>
    <row r="160" spans="1:10" x14ac:dyDescent="0.3">
      <c r="A160">
        <v>159</v>
      </c>
      <c r="B160" s="1">
        <v>45085</v>
      </c>
      <c r="C160" t="s">
        <v>178</v>
      </c>
      <c r="D160" t="s">
        <v>1</v>
      </c>
      <c r="E160" t="s">
        <v>14</v>
      </c>
      <c r="F160">
        <v>45</v>
      </c>
      <c r="G160" t="s">
        <v>27</v>
      </c>
      <c r="H160">
        <v>2</v>
      </c>
      <c r="I160">
        <v>168</v>
      </c>
      <c r="J160">
        <v>336</v>
      </c>
    </row>
    <row r="161" spans="1:10" x14ac:dyDescent="0.3">
      <c r="A161">
        <v>160</v>
      </c>
      <c r="B161" s="1">
        <v>45086</v>
      </c>
      <c r="C161" t="s">
        <v>179</v>
      </c>
      <c r="D161" t="s">
        <v>3</v>
      </c>
      <c r="E161" t="s">
        <v>19</v>
      </c>
      <c r="F161">
        <v>22</v>
      </c>
      <c r="G161" t="s">
        <v>15</v>
      </c>
      <c r="H161">
        <v>2</v>
      </c>
      <c r="I161">
        <v>76</v>
      </c>
      <c r="J161">
        <v>152</v>
      </c>
    </row>
    <row r="162" spans="1:10" x14ac:dyDescent="0.3">
      <c r="A162">
        <v>161</v>
      </c>
      <c r="B162" s="1">
        <v>45087</v>
      </c>
      <c r="C162" t="s">
        <v>180</v>
      </c>
      <c r="D162" t="s">
        <v>2</v>
      </c>
      <c r="E162" t="s">
        <v>19</v>
      </c>
      <c r="F162">
        <v>49</v>
      </c>
      <c r="G162" t="s">
        <v>27</v>
      </c>
      <c r="H162">
        <v>4</v>
      </c>
      <c r="I162">
        <v>48</v>
      </c>
      <c r="J162">
        <v>192</v>
      </c>
    </row>
    <row r="163" spans="1:10" x14ac:dyDescent="0.3">
      <c r="A163">
        <v>162</v>
      </c>
      <c r="B163" s="1">
        <v>45088</v>
      </c>
      <c r="C163" t="s">
        <v>181</v>
      </c>
      <c r="D163" t="s">
        <v>2</v>
      </c>
      <c r="E163" t="s">
        <v>14</v>
      </c>
      <c r="F163">
        <v>49</v>
      </c>
      <c r="G163" t="s">
        <v>20</v>
      </c>
      <c r="H163">
        <v>1</v>
      </c>
      <c r="I163">
        <v>64</v>
      </c>
      <c r="J163">
        <v>64</v>
      </c>
    </row>
    <row r="164" spans="1:10" x14ac:dyDescent="0.3">
      <c r="A164">
        <v>163</v>
      </c>
      <c r="B164" s="1">
        <v>45089</v>
      </c>
      <c r="C164" t="s">
        <v>182</v>
      </c>
      <c r="D164" t="s">
        <v>4</v>
      </c>
      <c r="E164" t="s">
        <v>14</v>
      </c>
      <c r="F164">
        <v>34</v>
      </c>
      <c r="G164" t="s">
        <v>20</v>
      </c>
      <c r="H164">
        <v>2</v>
      </c>
      <c r="I164">
        <v>26</v>
      </c>
      <c r="J164">
        <v>52</v>
      </c>
    </row>
    <row r="165" spans="1:10" x14ac:dyDescent="0.3">
      <c r="A165">
        <v>164</v>
      </c>
      <c r="B165" s="1">
        <v>45090</v>
      </c>
      <c r="C165" t="s">
        <v>183</v>
      </c>
      <c r="D165" t="s">
        <v>2</v>
      </c>
      <c r="E165" t="s">
        <v>19</v>
      </c>
      <c r="F165">
        <v>28</v>
      </c>
      <c r="G165" t="s">
        <v>23</v>
      </c>
      <c r="H165">
        <v>2</v>
      </c>
      <c r="I165">
        <v>270</v>
      </c>
      <c r="J165">
        <v>540</v>
      </c>
    </row>
    <row r="166" spans="1:10" x14ac:dyDescent="0.3">
      <c r="A166">
        <v>165</v>
      </c>
      <c r="B166" s="1">
        <v>45091</v>
      </c>
      <c r="C166" t="s">
        <v>184</v>
      </c>
      <c r="D166" t="s">
        <v>2</v>
      </c>
      <c r="E166" t="s">
        <v>14</v>
      </c>
      <c r="F166">
        <v>48</v>
      </c>
      <c r="G166" t="s">
        <v>17</v>
      </c>
      <c r="H166">
        <v>3</v>
      </c>
      <c r="I166">
        <v>185</v>
      </c>
      <c r="J166">
        <v>555</v>
      </c>
    </row>
    <row r="167" spans="1:10" x14ac:dyDescent="0.3">
      <c r="A167">
        <v>166</v>
      </c>
      <c r="B167" s="1">
        <v>45092</v>
      </c>
      <c r="C167" t="s">
        <v>185</v>
      </c>
      <c r="D167" t="s">
        <v>2</v>
      </c>
      <c r="E167" t="s">
        <v>19</v>
      </c>
      <c r="F167">
        <v>36</v>
      </c>
      <c r="G167" t="s">
        <v>20</v>
      </c>
      <c r="H167">
        <v>1</v>
      </c>
      <c r="I167">
        <v>472</v>
      </c>
      <c r="J167">
        <v>472</v>
      </c>
    </row>
    <row r="168" spans="1:10" x14ac:dyDescent="0.3">
      <c r="A168">
        <v>167</v>
      </c>
      <c r="B168" s="1">
        <v>45093</v>
      </c>
      <c r="C168" t="s">
        <v>186</v>
      </c>
      <c r="D168" t="s">
        <v>2</v>
      </c>
      <c r="E168" t="s">
        <v>14</v>
      </c>
      <c r="F168">
        <v>22</v>
      </c>
      <c r="G168" t="s">
        <v>15</v>
      </c>
      <c r="H168">
        <v>3</v>
      </c>
      <c r="I168">
        <v>351</v>
      </c>
      <c r="J168">
        <v>1053</v>
      </c>
    </row>
    <row r="169" spans="1:10" x14ac:dyDescent="0.3">
      <c r="A169">
        <v>168</v>
      </c>
      <c r="B169" s="1">
        <v>45094</v>
      </c>
      <c r="C169" t="s">
        <v>187</v>
      </c>
      <c r="D169" t="s">
        <v>3</v>
      </c>
      <c r="E169" t="s">
        <v>14</v>
      </c>
      <c r="F169">
        <v>26</v>
      </c>
      <c r="G169" t="s">
        <v>27</v>
      </c>
      <c r="H169">
        <v>5</v>
      </c>
      <c r="I169">
        <v>57</v>
      </c>
      <c r="J169">
        <v>285</v>
      </c>
    </row>
    <row r="170" spans="1:10" x14ac:dyDescent="0.3">
      <c r="A170">
        <v>169</v>
      </c>
      <c r="B170" s="1">
        <v>45095</v>
      </c>
      <c r="C170" t="s">
        <v>188</v>
      </c>
      <c r="D170" t="s">
        <v>1</v>
      </c>
      <c r="E170" t="s">
        <v>14</v>
      </c>
      <c r="F170">
        <v>39</v>
      </c>
      <c r="G170" t="s">
        <v>15</v>
      </c>
      <c r="H170">
        <v>3</v>
      </c>
      <c r="I170">
        <v>119</v>
      </c>
      <c r="J170">
        <v>357</v>
      </c>
    </row>
    <row r="171" spans="1:10" x14ac:dyDescent="0.3">
      <c r="A171">
        <v>170</v>
      </c>
      <c r="B171" s="1">
        <v>45096</v>
      </c>
      <c r="C171" t="s">
        <v>189</v>
      </c>
      <c r="D171" t="s">
        <v>3</v>
      </c>
      <c r="E171" t="s">
        <v>19</v>
      </c>
      <c r="F171">
        <v>31</v>
      </c>
      <c r="G171" t="s">
        <v>27</v>
      </c>
      <c r="H171">
        <v>4</v>
      </c>
      <c r="I171">
        <v>201</v>
      </c>
      <c r="J171">
        <v>804</v>
      </c>
    </row>
    <row r="172" spans="1:10" x14ac:dyDescent="0.3">
      <c r="A172">
        <v>171</v>
      </c>
      <c r="B172" s="1">
        <v>45097</v>
      </c>
      <c r="C172" t="s">
        <v>190</v>
      </c>
      <c r="D172" t="s">
        <v>3</v>
      </c>
      <c r="E172" t="s">
        <v>19</v>
      </c>
      <c r="F172">
        <v>33</v>
      </c>
      <c r="G172" t="s">
        <v>17</v>
      </c>
      <c r="H172">
        <v>2</v>
      </c>
      <c r="I172">
        <v>234</v>
      </c>
      <c r="J172">
        <v>468</v>
      </c>
    </row>
    <row r="173" spans="1:10" x14ac:dyDescent="0.3">
      <c r="A173">
        <v>172</v>
      </c>
      <c r="B173" s="1">
        <v>45098</v>
      </c>
      <c r="C173" t="s">
        <v>191</v>
      </c>
      <c r="D173" t="s">
        <v>4</v>
      </c>
      <c r="E173" t="s">
        <v>19</v>
      </c>
      <c r="F173">
        <v>45</v>
      </c>
      <c r="G173" t="s">
        <v>15</v>
      </c>
      <c r="H173">
        <v>1</v>
      </c>
      <c r="I173">
        <v>186</v>
      </c>
      <c r="J173">
        <v>186</v>
      </c>
    </row>
    <row r="174" spans="1:10" x14ac:dyDescent="0.3">
      <c r="A174">
        <v>173</v>
      </c>
      <c r="B174" s="1">
        <v>45099</v>
      </c>
      <c r="C174" t="s">
        <v>192</v>
      </c>
      <c r="D174" t="s">
        <v>2</v>
      </c>
      <c r="E174" t="s">
        <v>19</v>
      </c>
      <c r="F174">
        <v>24</v>
      </c>
      <c r="G174" t="s">
        <v>27</v>
      </c>
      <c r="H174">
        <v>4</v>
      </c>
      <c r="I174">
        <v>413</v>
      </c>
      <c r="J174">
        <v>1652</v>
      </c>
    </row>
    <row r="175" spans="1:10" x14ac:dyDescent="0.3">
      <c r="A175">
        <v>174</v>
      </c>
      <c r="B175" s="1">
        <v>45100</v>
      </c>
      <c r="C175" t="s">
        <v>193</v>
      </c>
      <c r="D175" t="s">
        <v>3</v>
      </c>
      <c r="E175" t="s">
        <v>14</v>
      </c>
      <c r="F175">
        <v>58</v>
      </c>
      <c r="G175" t="s">
        <v>20</v>
      </c>
      <c r="H175">
        <v>3</v>
      </c>
      <c r="I175">
        <v>232</v>
      </c>
      <c r="J175">
        <v>696</v>
      </c>
    </row>
    <row r="176" spans="1:10" x14ac:dyDescent="0.3">
      <c r="A176">
        <v>175</v>
      </c>
      <c r="B176" s="1">
        <v>45101</v>
      </c>
      <c r="C176" t="s">
        <v>194</v>
      </c>
      <c r="D176" t="s">
        <v>2</v>
      </c>
      <c r="E176" t="s">
        <v>14</v>
      </c>
      <c r="F176">
        <v>52</v>
      </c>
      <c r="G176" t="s">
        <v>23</v>
      </c>
      <c r="H176">
        <v>2</v>
      </c>
      <c r="I176">
        <v>137</v>
      </c>
      <c r="J176">
        <v>274</v>
      </c>
    </row>
    <row r="177" spans="1:10" x14ac:dyDescent="0.3">
      <c r="A177">
        <v>176</v>
      </c>
      <c r="B177" s="1">
        <v>45102</v>
      </c>
      <c r="C177" t="s">
        <v>195</v>
      </c>
      <c r="D177" t="s">
        <v>3</v>
      </c>
      <c r="E177" t="s">
        <v>19</v>
      </c>
      <c r="F177">
        <v>45</v>
      </c>
      <c r="G177" t="s">
        <v>15</v>
      </c>
      <c r="H177">
        <v>1</v>
      </c>
      <c r="I177">
        <v>109</v>
      </c>
      <c r="J177">
        <v>109</v>
      </c>
    </row>
    <row r="178" spans="1:10" x14ac:dyDescent="0.3">
      <c r="A178">
        <v>177</v>
      </c>
      <c r="B178" s="1">
        <v>45103</v>
      </c>
      <c r="C178" t="s">
        <v>196</v>
      </c>
      <c r="D178" t="s">
        <v>3</v>
      </c>
      <c r="E178" t="s">
        <v>19</v>
      </c>
      <c r="F178">
        <v>27</v>
      </c>
      <c r="G178" t="s">
        <v>23</v>
      </c>
      <c r="H178">
        <v>3</v>
      </c>
      <c r="I178">
        <v>57</v>
      </c>
      <c r="J178">
        <v>171</v>
      </c>
    </row>
    <row r="179" spans="1:10" x14ac:dyDescent="0.3">
      <c r="A179">
        <v>178</v>
      </c>
      <c r="B179" s="1">
        <v>45104</v>
      </c>
      <c r="C179" t="s">
        <v>197</v>
      </c>
      <c r="D179" t="s">
        <v>4</v>
      </c>
      <c r="E179" t="s">
        <v>19</v>
      </c>
      <c r="F179">
        <v>38</v>
      </c>
      <c r="G179" t="s">
        <v>23</v>
      </c>
      <c r="H179">
        <v>3</v>
      </c>
      <c r="I179">
        <v>121</v>
      </c>
      <c r="J179">
        <v>363</v>
      </c>
    </row>
    <row r="180" spans="1:10" x14ac:dyDescent="0.3">
      <c r="A180">
        <v>179</v>
      </c>
      <c r="B180" s="1">
        <v>45105</v>
      </c>
      <c r="C180" t="s">
        <v>198</v>
      </c>
      <c r="D180" t="s">
        <v>1</v>
      </c>
      <c r="E180" t="s">
        <v>19</v>
      </c>
      <c r="F180">
        <v>36</v>
      </c>
      <c r="G180" t="s">
        <v>15</v>
      </c>
      <c r="H180">
        <v>5</v>
      </c>
      <c r="I180">
        <v>365</v>
      </c>
      <c r="J180">
        <v>1825</v>
      </c>
    </row>
    <row r="181" spans="1:10" x14ac:dyDescent="0.3">
      <c r="A181">
        <v>180</v>
      </c>
      <c r="B181" s="1">
        <v>45106</v>
      </c>
      <c r="C181" t="s">
        <v>199</v>
      </c>
      <c r="D181" t="s">
        <v>1</v>
      </c>
      <c r="E181" t="s">
        <v>19</v>
      </c>
      <c r="F181">
        <v>41</v>
      </c>
      <c r="G181" t="s">
        <v>27</v>
      </c>
      <c r="H181">
        <v>2</v>
      </c>
      <c r="I181">
        <v>58</v>
      </c>
      <c r="J181">
        <v>116</v>
      </c>
    </row>
    <row r="182" spans="1:10" x14ac:dyDescent="0.3">
      <c r="A182">
        <v>181</v>
      </c>
      <c r="B182" s="1">
        <v>45107</v>
      </c>
      <c r="C182" t="s">
        <v>200</v>
      </c>
      <c r="D182" t="s">
        <v>3</v>
      </c>
      <c r="E182" t="s">
        <v>14</v>
      </c>
      <c r="F182">
        <v>18</v>
      </c>
      <c r="G182" t="s">
        <v>17</v>
      </c>
      <c r="H182">
        <v>2</v>
      </c>
      <c r="I182">
        <v>500</v>
      </c>
      <c r="J182">
        <v>1000</v>
      </c>
    </row>
    <row r="183" spans="1:10" x14ac:dyDescent="0.3">
      <c r="A183">
        <v>182</v>
      </c>
      <c r="B183" s="1">
        <v>45108</v>
      </c>
      <c r="C183" t="s">
        <v>201</v>
      </c>
      <c r="D183" t="s">
        <v>4</v>
      </c>
      <c r="E183" t="s">
        <v>14</v>
      </c>
      <c r="F183">
        <v>40</v>
      </c>
      <c r="G183" t="s">
        <v>27</v>
      </c>
      <c r="H183">
        <v>1</v>
      </c>
      <c r="I183">
        <v>68</v>
      </c>
      <c r="J183">
        <v>68</v>
      </c>
    </row>
    <row r="184" spans="1:10" x14ac:dyDescent="0.3">
      <c r="A184">
        <v>183</v>
      </c>
      <c r="B184" s="1">
        <v>45109</v>
      </c>
      <c r="C184" t="s">
        <v>202</v>
      </c>
      <c r="D184" t="s">
        <v>2</v>
      </c>
      <c r="E184" t="s">
        <v>19</v>
      </c>
      <c r="F184">
        <v>41</v>
      </c>
      <c r="G184" t="s">
        <v>15</v>
      </c>
      <c r="H184">
        <v>4</v>
      </c>
      <c r="I184">
        <v>351</v>
      </c>
      <c r="J184">
        <v>1404</v>
      </c>
    </row>
    <row r="185" spans="1:10" x14ac:dyDescent="0.3">
      <c r="A185">
        <v>184</v>
      </c>
      <c r="B185" s="1">
        <v>45110</v>
      </c>
      <c r="C185" t="s">
        <v>203</v>
      </c>
      <c r="D185" t="s">
        <v>2</v>
      </c>
      <c r="E185" t="s">
        <v>14</v>
      </c>
      <c r="F185">
        <v>33</v>
      </c>
      <c r="G185" t="s">
        <v>27</v>
      </c>
      <c r="H185">
        <v>3</v>
      </c>
      <c r="I185">
        <v>162</v>
      </c>
      <c r="J185">
        <v>486</v>
      </c>
    </row>
    <row r="186" spans="1:10" x14ac:dyDescent="0.3">
      <c r="A186">
        <v>185</v>
      </c>
      <c r="B186" s="1">
        <v>45111</v>
      </c>
      <c r="C186" t="s">
        <v>204</v>
      </c>
      <c r="D186" t="s">
        <v>3</v>
      </c>
      <c r="E186" t="s">
        <v>19</v>
      </c>
      <c r="F186">
        <v>55</v>
      </c>
      <c r="G186" t="s">
        <v>20</v>
      </c>
      <c r="H186">
        <v>5</v>
      </c>
      <c r="I186">
        <v>162</v>
      </c>
      <c r="J186">
        <v>810</v>
      </c>
    </row>
    <row r="187" spans="1:10" x14ac:dyDescent="0.3">
      <c r="A187">
        <v>186</v>
      </c>
      <c r="B187" s="1">
        <v>45112</v>
      </c>
      <c r="C187" t="s">
        <v>205</v>
      </c>
      <c r="D187" t="s">
        <v>1</v>
      </c>
      <c r="E187" t="s">
        <v>19</v>
      </c>
      <c r="F187">
        <v>31</v>
      </c>
      <c r="G187" t="s">
        <v>23</v>
      </c>
      <c r="H187">
        <v>5</v>
      </c>
      <c r="I187">
        <v>481</v>
      </c>
      <c r="J187">
        <v>2405</v>
      </c>
    </row>
    <row r="188" spans="1:10" x14ac:dyDescent="0.3">
      <c r="A188">
        <v>187</v>
      </c>
      <c r="B188" s="1">
        <v>45113</v>
      </c>
      <c r="C188" t="s">
        <v>206</v>
      </c>
      <c r="D188" t="s">
        <v>4</v>
      </c>
      <c r="E188" t="s">
        <v>19</v>
      </c>
      <c r="F188">
        <v>23</v>
      </c>
      <c r="G188" t="s">
        <v>27</v>
      </c>
      <c r="H188">
        <v>5</v>
      </c>
      <c r="I188">
        <v>258</v>
      </c>
      <c r="J188">
        <v>1290</v>
      </c>
    </row>
    <row r="189" spans="1:10" x14ac:dyDescent="0.3">
      <c r="A189">
        <v>188</v>
      </c>
      <c r="B189" s="1">
        <v>45114</v>
      </c>
      <c r="C189" t="s">
        <v>207</v>
      </c>
      <c r="D189" t="s">
        <v>1</v>
      </c>
      <c r="E189" t="s">
        <v>19</v>
      </c>
      <c r="F189">
        <v>52</v>
      </c>
      <c r="G189" t="s">
        <v>23</v>
      </c>
      <c r="H189">
        <v>5</v>
      </c>
      <c r="I189">
        <v>52</v>
      </c>
      <c r="J189">
        <v>260</v>
      </c>
    </row>
    <row r="190" spans="1:10" x14ac:dyDescent="0.3">
      <c r="A190">
        <v>189</v>
      </c>
      <c r="B190" s="1">
        <v>45115</v>
      </c>
      <c r="C190" t="s">
        <v>208</v>
      </c>
      <c r="D190" t="s">
        <v>2</v>
      </c>
      <c r="E190" t="s">
        <v>19</v>
      </c>
      <c r="F190">
        <v>57</v>
      </c>
      <c r="G190" t="s">
        <v>23</v>
      </c>
      <c r="H190">
        <v>3</v>
      </c>
      <c r="I190">
        <v>63</v>
      </c>
      <c r="J190">
        <v>189</v>
      </c>
    </row>
    <row r="191" spans="1:10" x14ac:dyDescent="0.3">
      <c r="A191">
        <v>190</v>
      </c>
      <c r="B191" s="1">
        <v>45116</v>
      </c>
      <c r="C191" t="s">
        <v>209</v>
      </c>
      <c r="D191" t="s">
        <v>1</v>
      </c>
      <c r="E191" t="s">
        <v>19</v>
      </c>
      <c r="F191">
        <v>39</v>
      </c>
      <c r="G191" t="s">
        <v>23</v>
      </c>
      <c r="H191">
        <v>5</v>
      </c>
      <c r="I191">
        <v>225</v>
      </c>
      <c r="J191">
        <v>1125</v>
      </c>
    </row>
    <row r="192" spans="1:10" x14ac:dyDescent="0.3">
      <c r="A192">
        <v>191</v>
      </c>
      <c r="B192" s="1">
        <v>45117</v>
      </c>
      <c r="C192" t="s">
        <v>210</v>
      </c>
      <c r="D192" t="s">
        <v>2</v>
      </c>
      <c r="E192" t="s">
        <v>19</v>
      </c>
      <c r="F192">
        <v>48</v>
      </c>
      <c r="G192" t="s">
        <v>27</v>
      </c>
      <c r="H192">
        <v>4</v>
      </c>
      <c r="I192">
        <v>24</v>
      </c>
      <c r="J192">
        <v>96</v>
      </c>
    </row>
    <row r="193" spans="1:10" x14ac:dyDescent="0.3">
      <c r="A193">
        <v>192</v>
      </c>
      <c r="B193" s="1">
        <v>45118</v>
      </c>
      <c r="C193" t="s">
        <v>211</v>
      </c>
      <c r="D193" t="s">
        <v>4</v>
      </c>
      <c r="E193" t="s">
        <v>19</v>
      </c>
      <c r="F193">
        <v>38</v>
      </c>
      <c r="G193" t="s">
        <v>23</v>
      </c>
      <c r="H193">
        <v>2</v>
      </c>
      <c r="I193">
        <v>292</v>
      </c>
      <c r="J193">
        <v>584</v>
      </c>
    </row>
    <row r="194" spans="1:10" x14ac:dyDescent="0.3">
      <c r="A194">
        <v>193</v>
      </c>
      <c r="B194" s="1">
        <v>45119</v>
      </c>
      <c r="C194" t="s">
        <v>212</v>
      </c>
      <c r="D194" t="s">
        <v>4</v>
      </c>
      <c r="E194" t="s">
        <v>19</v>
      </c>
      <c r="F194">
        <v>28</v>
      </c>
      <c r="G194" t="s">
        <v>27</v>
      </c>
      <c r="H194">
        <v>5</v>
      </c>
      <c r="I194">
        <v>167</v>
      </c>
      <c r="J194">
        <v>835</v>
      </c>
    </row>
    <row r="195" spans="1:10" x14ac:dyDescent="0.3">
      <c r="A195">
        <v>194</v>
      </c>
      <c r="B195" s="1">
        <v>45120</v>
      </c>
      <c r="C195" t="s">
        <v>213</v>
      </c>
      <c r="D195" t="s">
        <v>3</v>
      </c>
      <c r="E195" t="s">
        <v>14</v>
      </c>
      <c r="F195">
        <v>39</v>
      </c>
      <c r="G195" t="s">
        <v>20</v>
      </c>
      <c r="H195">
        <v>4</v>
      </c>
      <c r="I195">
        <v>491</v>
      </c>
      <c r="J195">
        <v>1964</v>
      </c>
    </row>
    <row r="196" spans="1:10" x14ac:dyDescent="0.3">
      <c r="A196">
        <v>195</v>
      </c>
      <c r="B196" s="1">
        <v>45121</v>
      </c>
      <c r="C196" t="s">
        <v>214</v>
      </c>
      <c r="D196" t="s">
        <v>3</v>
      </c>
      <c r="E196" t="s">
        <v>14</v>
      </c>
      <c r="F196">
        <v>55</v>
      </c>
      <c r="G196" t="s">
        <v>15</v>
      </c>
      <c r="H196">
        <v>1</v>
      </c>
      <c r="I196">
        <v>140</v>
      </c>
      <c r="J196">
        <v>140</v>
      </c>
    </row>
    <row r="197" spans="1:10" x14ac:dyDescent="0.3">
      <c r="A197">
        <v>196</v>
      </c>
      <c r="B197" s="1">
        <v>45122</v>
      </c>
      <c r="C197" t="s">
        <v>215</v>
      </c>
      <c r="D197" t="s">
        <v>1</v>
      </c>
      <c r="E197" t="s">
        <v>19</v>
      </c>
      <c r="F197">
        <v>57</v>
      </c>
      <c r="G197" t="s">
        <v>15</v>
      </c>
      <c r="H197">
        <v>5</v>
      </c>
      <c r="I197">
        <v>116</v>
      </c>
      <c r="J197">
        <v>580</v>
      </c>
    </row>
    <row r="198" spans="1:10" x14ac:dyDescent="0.3">
      <c r="A198">
        <v>197</v>
      </c>
      <c r="B198" s="1">
        <v>45123</v>
      </c>
      <c r="C198" t="s">
        <v>216</v>
      </c>
      <c r="D198" t="s">
        <v>4</v>
      </c>
      <c r="E198" t="s">
        <v>19</v>
      </c>
      <c r="F198">
        <v>32</v>
      </c>
      <c r="G198" t="s">
        <v>17</v>
      </c>
      <c r="H198">
        <v>2</v>
      </c>
      <c r="I198">
        <v>43</v>
      </c>
      <c r="J198">
        <v>86</v>
      </c>
    </row>
    <row r="199" spans="1:10" x14ac:dyDescent="0.3">
      <c r="A199">
        <v>198</v>
      </c>
      <c r="B199" s="1">
        <v>45124</v>
      </c>
      <c r="C199" t="s">
        <v>217</v>
      </c>
      <c r="D199" t="s">
        <v>4</v>
      </c>
      <c r="E199" t="s">
        <v>19</v>
      </c>
      <c r="F199">
        <v>29</v>
      </c>
      <c r="G199" t="s">
        <v>27</v>
      </c>
      <c r="H199">
        <v>2</v>
      </c>
      <c r="I199">
        <v>111</v>
      </c>
      <c r="J199">
        <v>222</v>
      </c>
    </row>
    <row r="200" spans="1:10" x14ac:dyDescent="0.3">
      <c r="A200">
        <v>199</v>
      </c>
      <c r="B200" s="1">
        <v>45125</v>
      </c>
      <c r="C200" t="s">
        <v>218</v>
      </c>
      <c r="D200" t="s">
        <v>3</v>
      </c>
      <c r="E200" t="s">
        <v>14</v>
      </c>
      <c r="F200">
        <v>25</v>
      </c>
      <c r="G200" t="s">
        <v>15</v>
      </c>
      <c r="H200">
        <v>5</v>
      </c>
      <c r="I200">
        <v>459</v>
      </c>
      <c r="J200">
        <v>2295</v>
      </c>
    </row>
    <row r="201" spans="1:10" x14ac:dyDescent="0.3">
      <c r="A201">
        <v>200</v>
      </c>
      <c r="B201" s="1">
        <v>45126</v>
      </c>
      <c r="C201" t="s">
        <v>219</v>
      </c>
      <c r="D201" t="s">
        <v>2</v>
      </c>
      <c r="E201" t="s">
        <v>14</v>
      </c>
      <c r="F201">
        <v>28</v>
      </c>
      <c r="G201" t="s">
        <v>17</v>
      </c>
      <c r="H201">
        <v>2</v>
      </c>
      <c r="I201">
        <v>333</v>
      </c>
      <c r="J201">
        <v>666</v>
      </c>
    </row>
    <row r="202" spans="1:10" x14ac:dyDescent="0.3">
      <c r="A202">
        <v>201</v>
      </c>
      <c r="B202" s="1">
        <v>45127</v>
      </c>
      <c r="C202" t="s">
        <v>220</v>
      </c>
      <c r="D202" t="s">
        <v>1</v>
      </c>
      <c r="E202" t="s">
        <v>19</v>
      </c>
      <c r="F202">
        <v>39</v>
      </c>
      <c r="G202" t="s">
        <v>27</v>
      </c>
      <c r="H202">
        <v>1</v>
      </c>
      <c r="I202">
        <v>101</v>
      </c>
      <c r="J202">
        <v>101</v>
      </c>
    </row>
    <row r="203" spans="1:10" x14ac:dyDescent="0.3">
      <c r="A203">
        <v>202</v>
      </c>
      <c r="B203" s="1">
        <v>45128</v>
      </c>
      <c r="C203" t="s">
        <v>221</v>
      </c>
      <c r="D203" t="s">
        <v>1</v>
      </c>
      <c r="E203" t="s">
        <v>19</v>
      </c>
      <c r="F203">
        <v>18</v>
      </c>
      <c r="G203" t="s">
        <v>23</v>
      </c>
      <c r="H203">
        <v>1</v>
      </c>
      <c r="I203">
        <v>308</v>
      </c>
      <c r="J203">
        <v>308</v>
      </c>
    </row>
    <row r="204" spans="1:10" x14ac:dyDescent="0.3">
      <c r="A204">
        <v>203</v>
      </c>
      <c r="B204" s="1">
        <v>45129</v>
      </c>
      <c r="C204" t="s">
        <v>222</v>
      </c>
      <c r="D204" t="s">
        <v>3</v>
      </c>
      <c r="E204" t="s">
        <v>19</v>
      </c>
      <c r="F204">
        <v>49</v>
      </c>
      <c r="G204" t="s">
        <v>27</v>
      </c>
      <c r="H204">
        <v>2</v>
      </c>
      <c r="I204">
        <v>256</v>
      </c>
      <c r="J204">
        <v>512</v>
      </c>
    </row>
    <row r="205" spans="1:10" x14ac:dyDescent="0.3">
      <c r="A205">
        <v>204</v>
      </c>
      <c r="B205" s="1">
        <v>45130</v>
      </c>
      <c r="C205" t="s">
        <v>223</v>
      </c>
      <c r="D205" t="s">
        <v>4</v>
      </c>
      <c r="E205" t="s">
        <v>14</v>
      </c>
      <c r="F205">
        <v>29</v>
      </c>
      <c r="G205" t="s">
        <v>20</v>
      </c>
      <c r="H205">
        <v>1</v>
      </c>
      <c r="I205">
        <v>169</v>
      </c>
      <c r="J205">
        <v>169</v>
      </c>
    </row>
    <row r="206" spans="1:10" x14ac:dyDescent="0.3">
      <c r="A206">
        <v>205</v>
      </c>
      <c r="B206" s="1">
        <v>45131</v>
      </c>
      <c r="C206" t="s">
        <v>224</v>
      </c>
      <c r="D206" t="s">
        <v>3</v>
      </c>
      <c r="E206" t="s">
        <v>14</v>
      </c>
      <c r="F206">
        <v>55</v>
      </c>
      <c r="G206" t="s">
        <v>27</v>
      </c>
      <c r="H206">
        <v>3</v>
      </c>
      <c r="I206">
        <v>384</v>
      </c>
      <c r="J206">
        <v>1152</v>
      </c>
    </row>
    <row r="207" spans="1:10" x14ac:dyDescent="0.3">
      <c r="A207">
        <v>206</v>
      </c>
      <c r="B207" s="1">
        <v>45132</v>
      </c>
      <c r="C207" t="s">
        <v>225</v>
      </c>
      <c r="D207" t="s">
        <v>3</v>
      </c>
      <c r="E207" t="s">
        <v>14</v>
      </c>
      <c r="F207">
        <v>37</v>
      </c>
      <c r="G207" t="s">
        <v>15</v>
      </c>
      <c r="H207">
        <v>5</v>
      </c>
      <c r="I207">
        <v>320</v>
      </c>
      <c r="J207">
        <v>1600</v>
      </c>
    </row>
    <row r="208" spans="1:10" x14ac:dyDescent="0.3">
      <c r="A208">
        <v>207</v>
      </c>
      <c r="B208" s="1">
        <v>45133</v>
      </c>
      <c r="C208" t="s">
        <v>226</v>
      </c>
      <c r="D208" t="s">
        <v>3</v>
      </c>
      <c r="E208" t="s">
        <v>14</v>
      </c>
      <c r="F208">
        <v>41</v>
      </c>
      <c r="G208" t="s">
        <v>17</v>
      </c>
      <c r="H208">
        <v>4</v>
      </c>
      <c r="I208">
        <v>43</v>
      </c>
      <c r="J208">
        <v>172</v>
      </c>
    </row>
    <row r="209" spans="1:10" x14ac:dyDescent="0.3">
      <c r="A209">
        <v>208</v>
      </c>
      <c r="B209" s="1">
        <v>45134</v>
      </c>
      <c r="C209" t="s">
        <v>227</v>
      </c>
      <c r="D209" t="s">
        <v>3</v>
      </c>
      <c r="E209" t="s">
        <v>14</v>
      </c>
      <c r="F209">
        <v>42</v>
      </c>
      <c r="G209" t="s">
        <v>15</v>
      </c>
      <c r="H209">
        <v>5</v>
      </c>
      <c r="I209">
        <v>118</v>
      </c>
      <c r="J209">
        <v>590</v>
      </c>
    </row>
    <row r="210" spans="1:10" x14ac:dyDescent="0.3">
      <c r="A210">
        <v>209</v>
      </c>
      <c r="B210" s="1">
        <v>45135</v>
      </c>
      <c r="C210" t="s">
        <v>228</v>
      </c>
      <c r="D210" t="s">
        <v>2</v>
      </c>
      <c r="E210" t="s">
        <v>19</v>
      </c>
      <c r="F210">
        <v>42</v>
      </c>
      <c r="G210" t="s">
        <v>15</v>
      </c>
      <c r="H210">
        <v>1</v>
      </c>
      <c r="I210">
        <v>211</v>
      </c>
      <c r="J210">
        <v>211</v>
      </c>
    </row>
    <row r="211" spans="1:10" x14ac:dyDescent="0.3">
      <c r="A211">
        <v>210</v>
      </c>
      <c r="B211" s="1">
        <v>45136</v>
      </c>
      <c r="C211" t="s">
        <v>229</v>
      </c>
      <c r="D211" t="s">
        <v>2</v>
      </c>
      <c r="E211" t="s">
        <v>14</v>
      </c>
      <c r="F211">
        <v>44</v>
      </c>
      <c r="G211" t="s">
        <v>23</v>
      </c>
      <c r="H211">
        <v>5</v>
      </c>
      <c r="I211">
        <v>239</v>
      </c>
      <c r="J211">
        <v>1195</v>
      </c>
    </row>
    <row r="212" spans="1:10" x14ac:dyDescent="0.3">
      <c r="A212">
        <v>211</v>
      </c>
      <c r="B212" s="1">
        <v>45137</v>
      </c>
      <c r="C212" t="s">
        <v>230</v>
      </c>
      <c r="D212" t="s">
        <v>4</v>
      </c>
      <c r="E212" t="s">
        <v>14</v>
      </c>
      <c r="F212">
        <v>53</v>
      </c>
      <c r="G212" t="s">
        <v>27</v>
      </c>
      <c r="H212">
        <v>2</v>
      </c>
      <c r="I212">
        <v>165</v>
      </c>
      <c r="J212">
        <v>330</v>
      </c>
    </row>
    <row r="213" spans="1:10" x14ac:dyDescent="0.3">
      <c r="A213">
        <v>212</v>
      </c>
      <c r="B213" s="1">
        <v>45138</v>
      </c>
      <c r="C213" t="s">
        <v>231</v>
      </c>
      <c r="D213" t="s">
        <v>3</v>
      </c>
      <c r="E213" t="s">
        <v>19</v>
      </c>
      <c r="F213">
        <v>50</v>
      </c>
      <c r="G213" t="s">
        <v>20</v>
      </c>
      <c r="H213">
        <v>2</v>
      </c>
      <c r="I213">
        <v>249</v>
      </c>
      <c r="J213">
        <v>498</v>
      </c>
    </row>
    <row r="214" spans="1:10" x14ac:dyDescent="0.3">
      <c r="A214">
        <v>213</v>
      </c>
      <c r="B214" s="1">
        <v>45139</v>
      </c>
      <c r="C214" t="s">
        <v>232</v>
      </c>
      <c r="D214" t="s">
        <v>2</v>
      </c>
      <c r="E214" t="s">
        <v>19</v>
      </c>
      <c r="F214">
        <v>45</v>
      </c>
      <c r="G214" t="s">
        <v>23</v>
      </c>
      <c r="H214">
        <v>3</v>
      </c>
      <c r="I214">
        <v>150</v>
      </c>
      <c r="J214">
        <v>450</v>
      </c>
    </row>
    <row r="215" spans="1:10" x14ac:dyDescent="0.3">
      <c r="A215">
        <v>214</v>
      </c>
      <c r="B215" s="1">
        <v>45140</v>
      </c>
      <c r="C215" t="s">
        <v>233</v>
      </c>
      <c r="D215" t="s">
        <v>4</v>
      </c>
      <c r="E215" t="s">
        <v>14</v>
      </c>
      <c r="F215">
        <v>22</v>
      </c>
      <c r="G215" t="s">
        <v>17</v>
      </c>
      <c r="H215">
        <v>4</v>
      </c>
      <c r="I215">
        <v>481</v>
      </c>
      <c r="J215">
        <v>1924</v>
      </c>
    </row>
    <row r="216" spans="1:10" x14ac:dyDescent="0.3">
      <c r="A216">
        <v>215</v>
      </c>
      <c r="B216" s="1">
        <v>45141</v>
      </c>
      <c r="C216" t="s">
        <v>234</v>
      </c>
      <c r="D216" t="s">
        <v>3</v>
      </c>
      <c r="E216" t="s">
        <v>19</v>
      </c>
      <c r="F216">
        <v>34</v>
      </c>
      <c r="G216" t="s">
        <v>15</v>
      </c>
      <c r="H216">
        <v>3</v>
      </c>
      <c r="I216">
        <v>285</v>
      </c>
      <c r="J216">
        <v>855</v>
      </c>
    </row>
    <row r="217" spans="1:10" x14ac:dyDescent="0.3">
      <c r="A217">
        <v>216</v>
      </c>
      <c r="B217" s="1">
        <v>45142</v>
      </c>
      <c r="C217" t="s">
        <v>235</v>
      </c>
      <c r="D217" t="s">
        <v>1</v>
      </c>
      <c r="E217" t="s">
        <v>19</v>
      </c>
      <c r="F217">
        <v>41</v>
      </c>
      <c r="G217" t="s">
        <v>17</v>
      </c>
      <c r="H217">
        <v>4</v>
      </c>
      <c r="I217">
        <v>88</v>
      </c>
      <c r="J217">
        <v>352</v>
      </c>
    </row>
    <row r="218" spans="1:10" x14ac:dyDescent="0.3">
      <c r="A218">
        <v>217</v>
      </c>
      <c r="B218" s="1">
        <v>45143</v>
      </c>
      <c r="C218" t="s">
        <v>236</v>
      </c>
      <c r="D218" t="s">
        <v>2</v>
      </c>
      <c r="E218" t="s">
        <v>14</v>
      </c>
      <c r="F218">
        <v>27</v>
      </c>
      <c r="G218" t="s">
        <v>17</v>
      </c>
      <c r="H218">
        <v>5</v>
      </c>
      <c r="I218">
        <v>450</v>
      </c>
      <c r="J218">
        <v>2250</v>
      </c>
    </row>
    <row r="219" spans="1:10" x14ac:dyDescent="0.3">
      <c r="A219">
        <v>218</v>
      </c>
      <c r="B219" s="1">
        <v>45144</v>
      </c>
      <c r="C219" t="s">
        <v>237</v>
      </c>
      <c r="D219" t="s">
        <v>4</v>
      </c>
      <c r="E219" t="s">
        <v>19</v>
      </c>
      <c r="F219">
        <v>19</v>
      </c>
      <c r="G219" t="s">
        <v>15</v>
      </c>
      <c r="H219">
        <v>4</v>
      </c>
      <c r="I219">
        <v>158</v>
      </c>
      <c r="J219">
        <v>632</v>
      </c>
    </row>
    <row r="220" spans="1:10" x14ac:dyDescent="0.3">
      <c r="A220">
        <v>219</v>
      </c>
      <c r="B220" s="1">
        <v>45145</v>
      </c>
      <c r="C220" t="s">
        <v>238</v>
      </c>
      <c r="D220" t="s">
        <v>1</v>
      </c>
      <c r="E220" t="s">
        <v>14</v>
      </c>
      <c r="F220">
        <v>21</v>
      </c>
      <c r="G220" t="s">
        <v>23</v>
      </c>
      <c r="H220">
        <v>2</v>
      </c>
      <c r="I220">
        <v>27</v>
      </c>
      <c r="J220">
        <v>54</v>
      </c>
    </row>
    <row r="221" spans="1:10" x14ac:dyDescent="0.3">
      <c r="A221">
        <v>220</v>
      </c>
      <c r="B221" s="1">
        <v>45146</v>
      </c>
      <c r="C221" t="s">
        <v>239</v>
      </c>
      <c r="D221" t="s">
        <v>3</v>
      </c>
      <c r="E221" t="s">
        <v>19</v>
      </c>
      <c r="F221">
        <v>44</v>
      </c>
      <c r="G221" t="s">
        <v>23</v>
      </c>
      <c r="H221">
        <v>3</v>
      </c>
      <c r="I221">
        <v>349</v>
      </c>
      <c r="J221">
        <v>1047</v>
      </c>
    </row>
    <row r="222" spans="1:10" x14ac:dyDescent="0.3">
      <c r="A222">
        <v>221</v>
      </c>
      <c r="B222" s="1">
        <v>45147</v>
      </c>
      <c r="C222" t="s">
        <v>240</v>
      </c>
      <c r="D222" t="s">
        <v>3</v>
      </c>
      <c r="E222" t="s">
        <v>14</v>
      </c>
      <c r="F222">
        <v>34</v>
      </c>
      <c r="G222" t="s">
        <v>17</v>
      </c>
      <c r="H222">
        <v>3</v>
      </c>
      <c r="I222">
        <v>387</v>
      </c>
      <c r="J222">
        <v>1161</v>
      </c>
    </row>
    <row r="223" spans="1:10" x14ac:dyDescent="0.3">
      <c r="A223">
        <v>222</v>
      </c>
      <c r="B223" s="1">
        <v>45148</v>
      </c>
      <c r="C223" t="s">
        <v>241</v>
      </c>
      <c r="D223" t="s">
        <v>3</v>
      </c>
      <c r="E223" t="s">
        <v>19</v>
      </c>
      <c r="F223">
        <v>55</v>
      </c>
      <c r="G223" t="s">
        <v>27</v>
      </c>
      <c r="H223">
        <v>5</v>
      </c>
      <c r="I223">
        <v>188</v>
      </c>
      <c r="J223">
        <v>940</v>
      </c>
    </row>
    <row r="224" spans="1:10" x14ac:dyDescent="0.3">
      <c r="A224">
        <v>223</v>
      </c>
      <c r="B224" s="1">
        <v>45149</v>
      </c>
      <c r="C224" t="s">
        <v>242</v>
      </c>
      <c r="D224" t="s">
        <v>2</v>
      </c>
      <c r="E224" t="s">
        <v>19</v>
      </c>
      <c r="F224">
        <v>40</v>
      </c>
      <c r="G224" t="s">
        <v>23</v>
      </c>
      <c r="H224">
        <v>1</v>
      </c>
      <c r="I224">
        <v>439</v>
      </c>
      <c r="J224">
        <v>439</v>
      </c>
    </row>
    <row r="225" spans="1:10" x14ac:dyDescent="0.3">
      <c r="A225">
        <v>224</v>
      </c>
      <c r="B225" s="1">
        <v>45150</v>
      </c>
      <c r="C225" t="s">
        <v>243</v>
      </c>
      <c r="D225" t="s">
        <v>4</v>
      </c>
      <c r="E225" t="s">
        <v>14</v>
      </c>
      <c r="F225">
        <v>52</v>
      </c>
      <c r="G225" t="s">
        <v>15</v>
      </c>
      <c r="H225">
        <v>3</v>
      </c>
      <c r="I225">
        <v>461</v>
      </c>
      <c r="J225">
        <v>1383</v>
      </c>
    </row>
    <row r="226" spans="1:10" x14ac:dyDescent="0.3">
      <c r="A226">
        <v>225</v>
      </c>
      <c r="B226" s="1">
        <v>45151</v>
      </c>
      <c r="C226" t="s">
        <v>244</v>
      </c>
      <c r="D226" t="s">
        <v>1</v>
      </c>
      <c r="E226" t="s">
        <v>19</v>
      </c>
      <c r="F226">
        <v>47</v>
      </c>
      <c r="G226" t="s">
        <v>17</v>
      </c>
      <c r="H226">
        <v>4</v>
      </c>
      <c r="I226">
        <v>242</v>
      </c>
      <c r="J226">
        <v>968</v>
      </c>
    </row>
    <row r="227" spans="1:10" x14ac:dyDescent="0.3">
      <c r="A227">
        <v>226</v>
      </c>
      <c r="B227" s="1">
        <v>45152</v>
      </c>
      <c r="C227" t="s">
        <v>245</v>
      </c>
      <c r="D227" t="s">
        <v>4</v>
      </c>
      <c r="E227" t="s">
        <v>19</v>
      </c>
      <c r="F227">
        <v>42</v>
      </c>
      <c r="G227" t="s">
        <v>23</v>
      </c>
      <c r="H227">
        <v>1</v>
      </c>
      <c r="I227">
        <v>461</v>
      </c>
      <c r="J227">
        <v>461</v>
      </c>
    </row>
    <row r="228" spans="1:10" x14ac:dyDescent="0.3">
      <c r="A228">
        <v>227</v>
      </c>
      <c r="B228" s="1">
        <v>45153</v>
      </c>
      <c r="C228" t="s">
        <v>246</v>
      </c>
      <c r="D228" t="s">
        <v>2</v>
      </c>
      <c r="E228" t="s">
        <v>19</v>
      </c>
      <c r="F228">
        <v>30</v>
      </c>
      <c r="G228" t="s">
        <v>27</v>
      </c>
      <c r="H228">
        <v>2</v>
      </c>
      <c r="I228">
        <v>341</v>
      </c>
      <c r="J228">
        <v>682</v>
      </c>
    </row>
    <row r="229" spans="1:10" x14ac:dyDescent="0.3">
      <c r="A229">
        <v>228</v>
      </c>
      <c r="B229" s="1">
        <v>45154</v>
      </c>
      <c r="C229" t="s">
        <v>247</v>
      </c>
      <c r="D229" t="s">
        <v>4</v>
      </c>
      <c r="E229" t="s">
        <v>14</v>
      </c>
      <c r="F229">
        <v>33</v>
      </c>
      <c r="G229" t="s">
        <v>20</v>
      </c>
      <c r="H229">
        <v>4</v>
      </c>
      <c r="I229">
        <v>29</v>
      </c>
      <c r="J229">
        <v>116</v>
      </c>
    </row>
    <row r="230" spans="1:10" x14ac:dyDescent="0.3">
      <c r="A230">
        <v>229</v>
      </c>
      <c r="B230" s="1">
        <v>45155</v>
      </c>
      <c r="C230" t="s">
        <v>248</v>
      </c>
      <c r="D230" t="s">
        <v>2</v>
      </c>
      <c r="E230" t="s">
        <v>14</v>
      </c>
      <c r="F230">
        <v>35</v>
      </c>
      <c r="G230" t="s">
        <v>15</v>
      </c>
      <c r="H230">
        <v>3</v>
      </c>
      <c r="I230">
        <v>168</v>
      </c>
      <c r="J230">
        <v>504</v>
      </c>
    </row>
    <row r="231" spans="1:10" x14ac:dyDescent="0.3">
      <c r="A231">
        <v>230</v>
      </c>
      <c r="B231" s="1">
        <v>45156</v>
      </c>
      <c r="C231" t="s">
        <v>249</v>
      </c>
      <c r="D231" t="s">
        <v>3</v>
      </c>
      <c r="E231" t="s">
        <v>14</v>
      </c>
      <c r="F231">
        <v>31</v>
      </c>
      <c r="G231" t="s">
        <v>23</v>
      </c>
      <c r="H231">
        <v>1</v>
      </c>
      <c r="I231">
        <v>130</v>
      </c>
      <c r="J231">
        <v>130</v>
      </c>
    </row>
    <row r="232" spans="1:10" x14ac:dyDescent="0.3">
      <c r="A232">
        <v>231</v>
      </c>
      <c r="B232" s="1">
        <v>45157</v>
      </c>
      <c r="C232" t="s">
        <v>250</v>
      </c>
      <c r="D232" t="s">
        <v>1</v>
      </c>
      <c r="E232" t="s">
        <v>19</v>
      </c>
      <c r="F232">
        <v>55</v>
      </c>
      <c r="G232" t="s">
        <v>23</v>
      </c>
      <c r="H232">
        <v>5</v>
      </c>
      <c r="I232">
        <v>241</v>
      </c>
      <c r="J232">
        <v>1205</v>
      </c>
    </row>
    <row r="233" spans="1:10" x14ac:dyDescent="0.3">
      <c r="A233">
        <v>232</v>
      </c>
      <c r="B233" s="1">
        <v>45158</v>
      </c>
      <c r="C233" t="s">
        <v>251</v>
      </c>
      <c r="D233" t="s">
        <v>3</v>
      </c>
      <c r="E233" t="s">
        <v>14</v>
      </c>
      <c r="F233">
        <v>39</v>
      </c>
      <c r="G233" t="s">
        <v>15</v>
      </c>
      <c r="H233">
        <v>4</v>
      </c>
      <c r="I233">
        <v>262</v>
      </c>
      <c r="J233">
        <v>1048</v>
      </c>
    </row>
    <row r="234" spans="1:10" x14ac:dyDescent="0.3">
      <c r="A234">
        <v>233</v>
      </c>
      <c r="B234" s="1">
        <v>45159</v>
      </c>
      <c r="C234" t="s">
        <v>252</v>
      </c>
      <c r="D234" t="s">
        <v>4</v>
      </c>
      <c r="E234" t="s">
        <v>19</v>
      </c>
      <c r="F234">
        <v>54</v>
      </c>
      <c r="G234" t="s">
        <v>27</v>
      </c>
      <c r="H234">
        <v>1</v>
      </c>
      <c r="I234">
        <v>66</v>
      </c>
      <c r="J234">
        <v>66</v>
      </c>
    </row>
    <row r="235" spans="1:10" x14ac:dyDescent="0.3">
      <c r="A235">
        <v>234</v>
      </c>
      <c r="B235" s="1">
        <v>45160</v>
      </c>
      <c r="C235" t="s">
        <v>253</v>
      </c>
      <c r="D235" t="s">
        <v>3</v>
      </c>
      <c r="E235" t="s">
        <v>14</v>
      </c>
      <c r="F235">
        <v>21</v>
      </c>
      <c r="G235" t="s">
        <v>23</v>
      </c>
      <c r="H235">
        <v>3</v>
      </c>
      <c r="I235">
        <v>52</v>
      </c>
      <c r="J235">
        <v>156</v>
      </c>
    </row>
    <row r="236" spans="1:10" x14ac:dyDescent="0.3">
      <c r="A236">
        <v>235</v>
      </c>
      <c r="B236" s="1">
        <v>45161</v>
      </c>
      <c r="C236" t="s">
        <v>254</v>
      </c>
      <c r="D236" t="s">
        <v>1</v>
      </c>
      <c r="E236" t="s">
        <v>14</v>
      </c>
      <c r="F236">
        <v>23</v>
      </c>
      <c r="G236" t="s">
        <v>27</v>
      </c>
      <c r="H236">
        <v>4</v>
      </c>
      <c r="I236">
        <v>415</v>
      </c>
      <c r="J236">
        <v>1660</v>
      </c>
    </row>
    <row r="237" spans="1:10" x14ac:dyDescent="0.3">
      <c r="A237">
        <v>236</v>
      </c>
      <c r="B237" s="1">
        <v>45162</v>
      </c>
      <c r="C237" t="s">
        <v>255</v>
      </c>
      <c r="D237" t="s">
        <v>3</v>
      </c>
      <c r="E237" t="s">
        <v>19</v>
      </c>
      <c r="F237">
        <v>47</v>
      </c>
      <c r="G237" t="s">
        <v>20</v>
      </c>
      <c r="H237">
        <v>5</v>
      </c>
      <c r="I237">
        <v>385</v>
      </c>
      <c r="J237">
        <v>1925</v>
      </c>
    </row>
    <row r="238" spans="1:10" x14ac:dyDescent="0.3">
      <c r="A238">
        <v>237</v>
      </c>
      <c r="B238" s="1">
        <v>45163</v>
      </c>
      <c r="C238" t="s">
        <v>256</v>
      </c>
      <c r="D238" t="s">
        <v>1</v>
      </c>
      <c r="E238" t="s">
        <v>14</v>
      </c>
      <c r="F238">
        <v>56</v>
      </c>
      <c r="G238" t="s">
        <v>23</v>
      </c>
      <c r="H238">
        <v>2</v>
      </c>
      <c r="I238">
        <v>195</v>
      </c>
      <c r="J238">
        <v>390</v>
      </c>
    </row>
    <row r="239" spans="1:10" x14ac:dyDescent="0.3">
      <c r="A239">
        <v>238</v>
      </c>
      <c r="B239" s="1">
        <v>45164</v>
      </c>
      <c r="C239" t="s">
        <v>257</v>
      </c>
      <c r="D239" t="s">
        <v>1</v>
      </c>
      <c r="E239" t="s">
        <v>19</v>
      </c>
      <c r="F239">
        <v>56</v>
      </c>
      <c r="G239" t="s">
        <v>23</v>
      </c>
      <c r="H239">
        <v>2</v>
      </c>
      <c r="I239">
        <v>262</v>
      </c>
      <c r="J239">
        <v>524</v>
      </c>
    </row>
    <row r="240" spans="1:10" x14ac:dyDescent="0.3">
      <c r="A240">
        <v>239</v>
      </c>
      <c r="B240" s="1">
        <v>45165</v>
      </c>
      <c r="C240" t="s">
        <v>258</v>
      </c>
      <c r="D240" t="s">
        <v>3</v>
      </c>
      <c r="E240" t="s">
        <v>19</v>
      </c>
      <c r="F240">
        <v>57</v>
      </c>
      <c r="G240" t="s">
        <v>27</v>
      </c>
      <c r="H240">
        <v>2</v>
      </c>
      <c r="I240">
        <v>181</v>
      </c>
      <c r="J240">
        <v>362</v>
      </c>
    </row>
    <row r="241" spans="1:10" x14ac:dyDescent="0.3">
      <c r="A241">
        <v>240</v>
      </c>
      <c r="B241" s="1">
        <v>45166</v>
      </c>
      <c r="C241" t="s">
        <v>259</v>
      </c>
      <c r="D241" t="s">
        <v>2</v>
      </c>
      <c r="E241" t="s">
        <v>14</v>
      </c>
      <c r="F241">
        <v>32</v>
      </c>
      <c r="G241" t="s">
        <v>17</v>
      </c>
      <c r="H241">
        <v>5</v>
      </c>
      <c r="I241">
        <v>295</v>
      </c>
      <c r="J241">
        <v>1475</v>
      </c>
    </row>
    <row r="242" spans="1:10" x14ac:dyDescent="0.3">
      <c r="A242">
        <v>241</v>
      </c>
      <c r="B242" s="1">
        <v>45167</v>
      </c>
      <c r="C242" t="s">
        <v>260</v>
      </c>
      <c r="D242" t="s">
        <v>4</v>
      </c>
      <c r="E242" t="s">
        <v>14</v>
      </c>
      <c r="F242">
        <v>46</v>
      </c>
      <c r="G242" t="s">
        <v>17</v>
      </c>
      <c r="H242">
        <v>2</v>
      </c>
      <c r="I242">
        <v>159</v>
      </c>
      <c r="J242">
        <v>318</v>
      </c>
    </row>
    <row r="243" spans="1:10" x14ac:dyDescent="0.3">
      <c r="A243">
        <v>242</v>
      </c>
      <c r="B243" s="1">
        <v>45168</v>
      </c>
      <c r="C243" t="s">
        <v>261</v>
      </c>
      <c r="D243" t="s">
        <v>2</v>
      </c>
      <c r="E243" t="s">
        <v>19</v>
      </c>
      <c r="F243">
        <v>34</v>
      </c>
      <c r="G243" t="s">
        <v>17</v>
      </c>
      <c r="H243">
        <v>5</v>
      </c>
      <c r="I243">
        <v>211</v>
      </c>
      <c r="J243">
        <v>1055</v>
      </c>
    </row>
    <row r="244" spans="1:10" x14ac:dyDescent="0.3">
      <c r="A244">
        <v>243</v>
      </c>
      <c r="B244" s="1">
        <v>45169</v>
      </c>
      <c r="C244" t="s">
        <v>262</v>
      </c>
      <c r="D244" t="s">
        <v>2</v>
      </c>
      <c r="E244" t="s">
        <v>19</v>
      </c>
      <c r="F244">
        <v>19</v>
      </c>
      <c r="G244" t="s">
        <v>23</v>
      </c>
      <c r="H244">
        <v>3</v>
      </c>
      <c r="I244">
        <v>414</v>
      </c>
      <c r="J244">
        <v>1242</v>
      </c>
    </row>
    <row r="245" spans="1:10" x14ac:dyDescent="0.3">
      <c r="A245">
        <v>244</v>
      </c>
      <c r="B245" s="1">
        <v>45170</v>
      </c>
      <c r="C245" t="s">
        <v>263</v>
      </c>
      <c r="D245" t="s">
        <v>3</v>
      </c>
      <c r="E245" t="s">
        <v>19</v>
      </c>
      <c r="F245">
        <v>48</v>
      </c>
      <c r="G245" t="s">
        <v>27</v>
      </c>
      <c r="H245">
        <v>3</v>
      </c>
      <c r="I245">
        <v>21</v>
      </c>
      <c r="J245">
        <v>63</v>
      </c>
    </row>
    <row r="246" spans="1:10" x14ac:dyDescent="0.3">
      <c r="A246">
        <v>245</v>
      </c>
      <c r="B246" s="1">
        <v>45171</v>
      </c>
      <c r="C246" t="s">
        <v>264</v>
      </c>
      <c r="D246" t="s">
        <v>4</v>
      </c>
      <c r="E246" t="s">
        <v>14</v>
      </c>
      <c r="F246">
        <v>51</v>
      </c>
      <c r="G246" t="s">
        <v>23</v>
      </c>
      <c r="H246">
        <v>4</v>
      </c>
      <c r="I246">
        <v>351</v>
      </c>
      <c r="J246">
        <v>1404</v>
      </c>
    </row>
    <row r="247" spans="1:10" x14ac:dyDescent="0.3">
      <c r="A247">
        <v>246</v>
      </c>
      <c r="B247" s="1">
        <v>45172</v>
      </c>
      <c r="C247" t="s">
        <v>265</v>
      </c>
      <c r="D247" t="s">
        <v>4</v>
      </c>
      <c r="E247" t="s">
        <v>19</v>
      </c>
      <c r="F247">
        <v>44</v>
      </c>
      <c r="G247" t="s">
        <v>23</v>
      </c>
      <c r="H247">
        <v>2</v>
      </c>
      <c r="I247">
        <v>92</v>
      </c>
      <c r="J247">
        <v>184</v>
      </c>
    </row>
    <row r="248" spans="1:10" x14ac:dyDescent="0.3">
      <c r="A248">
        <v>247</v>
      </c>
      <c r="B248" s="1">
        <v>45173</v>
      </c>
      <c r="C248" t="s">
        <v>266</v>
      </c>
      <c r="D248" t="s">
        <v>2</v>
      </c>
      <c r="E248" t="s">
        <v>14</v>
      </c>
      <c r="F248">
        <v>27</v>
      </c>
      <c r="G248" t="s">
        <v>15</v>
      </c>
      <c r="H248">
        <v>3</v>
      </c>
      <c r="I248">
        <v>307</v>
      </c>
      <c r="J248">
        <v>921</v>
      </c>
    </row>
    <row r="249" spans="1:10" x14ac:dyDescent="0.3">
      <c r="A249">
        <v>248</v>
      </c>
      <c r="B249" s="1">
        <v>45174</v>
      </c>
      <c r="C249" t="s">
        <v>267</v>
      </c>
      <c r="D249" t="s">
        <v>3</v>
      </c>
      <c r="E249" t="s">
        <v>14</v>
      </c>
      <c r="F249">
        <v>48</v>
      </c>
      <c r="G249" t="s">
        <v>23</v>
      </c>
      <c r="H249">
        <v>2</v>
      </c>
      <c r="I249">
        <v>323</v>
      </c>
      <c r="J249">
        <v>646</v>
      </c>
    </row>
    <row r="250" spans="1:10" x14ac:dyDescent="0.3">
      <c r="A250">
        <v>249</v>
      </c>
      <c r="B250" s="1">
        <v>45175</v>
      </c>
      <c r="C250" t="s">
        <v>268</v>
      </c>
      <c r="D250" t="s">
        <v>4</v>
      </c>
      <c r="E250" t="s">
        <v>14</v>
      </c>
      <c r="F250">
        <v>39</v>
      </c>
      <c r="G250" t="s">
        <v>23</v>
      </c>
      <c r="H250">
        <v>2</v>
      </c>
      <c r="I250">
        <v>87</v>
      </c>
      <c r="J250">
        <v>174</v>
      </c>
    </row>
    <row r="251" spans="1:10" x14ac:dyDescent="0.3">
      <c r="A251">
        <v>250</v>
      </c>
      <c r="B251" s="1">
        <v>45176</v>
      </c>
      <c r="C251" t="s">
        <v>269</v>
      </c>
      <c r="D251" t="s">
        <v>2</v>
      </c>
      <c r="E251" t="s">
        <v>14</v>
      </c>
      <c r="F251">
        <v>43</v>
      </c>
      <c r="G251" t="s">
        <v>23</v>
      </c>
      <c r="H251">
        <v>5</v>
      </c>
      <c r="I251">
        <v>192</v>
      </c>
      <c r="J251">
        <v>960</v>
      </c>
    </row>
    <row r="252" spans="1:10" x14ac:dyDescent="0.3">
      <c r="A252">
        <v>251</v>
      </c>
      <c r="B252" s="1">
        <v>45177</v>
      </c>
      <c r="C252" t="s">
        <v>270</v>
      </c>
      <c r="D252" t="s">
        <v>4</v>
      </c>
      <c r="E252" t="s">
        <v>14</v>
      </c>
      <c r="F252">
        <v>48</v>
      </c>
      <c r="G252" t="s">
        <v>17</v>
      </c>
      <c r="H252">
        <v>4</v>
      </c>
      <c r="I252">
        <v>414</v>
      </c>
      <c r="J252">
        <v>1656</v>
      </c>
    </row>
    <row r="253" spans="1:10" x14ac:dyDescent="0.3">
      <c r="A253">
        <v>252</v>
      </c>
      <c r="B253" s="1">
        <v>45178</v>
      </c>
      <c r="C253" t="s">
        <v>271</v>
      </c>
      <c r="D253" t="s">
        <v>3</v>
      </c>
      <c r="E253" t="s">
        <v>14</v>
      </c>
      <c r="F253">
        <v>33</v>
      </c>
      <c r="G253" t="s">
        <v>27</v>
      </c>
      <c r="H253">
        <v>4</v>
      </c>
      <c r="I253">
        <v>188</v>
      </c>
      <c r="J253">
        <v>752</v>
      </c>
    </row>
    <row r="254" spans="1:10" x14ac:dyDescent="0.3">
      <c r="A254">
        <v>253</v>
      </c>
      <c r="B254" s="1">
        <v>45179</v>
      </c>
      <c r="C254" t="s">
        <v>272</v>
      </c>
      <c r="D254" t="s">
        <v>3</v>
      </c>
      <c r="E254" t="s">
        <v>19</v>
      </c>
      <c r="F254">
        <v>49</v>
      </c>
      <c r="G254" t="s">
        <v>15</v>
      </c>
      <c r="H254">
        <v>4</v>
      </c>
      <c r="I254">
        <v>120</v>
      </c>
      <c r="J254">
        <v>480</v>
      </c>
    </row>
    <row r="255" spans="1:10" x14ac:dyDescent="0.3">
      <c r="A255">
        <v>254</v>
      </c>
      <c r="B255" s="1">
        <v>45180</v>
      </c>
      <c r="C255" t="s">
        <v>273</v>
      </c>
      <c r="D255" t="s">
        <v>3</v>
      </c>
      <c r="E255" t="s">
        <v>14</v>
      </c>
      <c r="F255">
        <v>27</v>
      </c>
      <c r="G255" t="s">
        <v>17</v>
      </c>
      <c r="H255">
        <v>1</v>
      </c>
      <c r="I255">
        <v>135</v>
      </c>
      <c r="J255">
        <v>135</v>
      </c>
    </row>
    <row r="256" spans="1:10" x14ac:dyDescent="0.3">
      <c r="A256">
        <v>255</v>
      </c>
      <c r="B256" s="1">
        <v>45181</v>
      </c>
      <c r="C256" t="s">
        <v>274</v>
      </c>
      <c r="D256" t="s">
        <v>4</v>
      </c>
      <c r="E256" t="s">
        <v>19</v>
      </c>
      <c r="F256">
        <v>32</v>
      </c>
      <c r="G256" t="s">
        <v>15</v>
      </c>
      <c r="H256">
        <v>2</v>
      </c>
      <c r="I256">
        <v>42</v>
      </c>
      <c r="J256">
        <v>84</v>
      </c>
    </row>
    <row r="257" spans="1:10" x14ac:dyDescent="0.3">
      <c r="A257">
        <v>256</v>
      </c>
      <c r="B257" s="1">
        <v>45182</v>
      </c>
      <c r="C257" t="s">
        <v>275</v>
      </c>
      <c r="D257" t="s">
        <v>1</v>
      </c>
      <c r="E257" t="s">
        <v>19</v>
      </c>
      <c r="F257">
        <v>57</v>
      </c>
      <c r="G257" t="s">
        <v>15</v>
      </c>
      <c r="H257">
        <v>1</v>
      </c>
      <c r="I257">
        <v>409</v>
      </c>
      <c r="J257">
        <v>409</v>
      </c>
    </row>
    <row r="258" spans="1:10" x14ac:dyDescent="0.3">
      <c r="A258">
        <v>257</v>
      </c>
      <c r="B258" s="1">
        <v>45183</v>
      </c>
      <c r="C258" t="s">
        <v>276</v>
      </c>
      <c r="D258" t="s">
        <v>4</v>
      </c>
      <c r="E258" t="s">
        <v>19</v>
      </c>
      <c r="F258">
        <v>57</v>
      </c>
      <c r="G258" t="s">
        <v>27</v>
      </c>
      <c r="H258">
        <v>3</v>
      </c>
      <c r="I258">
        <v>142</v>
      </c>
      <c r="J258">
        <v>426</v>
      </c>
    </row>
    <row r="259" spans="1:10" x14ac:dyDescent="0.3">
      <c r="A259">
        <v>258</v>
      </c>
      <c r="B259" s="1">
        <v>45184</v>
      </c>
      <c r="C259" t="s">
        <v>277</v>
      </c>
      <c r="D259" t="s">
        <v>1</v>
      </c>
      <c r="E259" t="s">
        <v>14</v>
      </c>
      <c r="F259">
        <v>55</v>
      </c>
      <c r="G259" t="s">
        <v>17</v>
      </c>
      <c r="H259">
        <v>5</v>
      </c>
      <c r="I259">
        <v>269</v>
      </c>
      <c r="J259">
        <v>1345</v>
      </c>
    </row>
    <row r="260" spans="1:10" x14ac:dyDescent="0.3">
      <c r="A260">
        <v>259</v>
      </c>
      <c r="B260" s="1">
        <v>45185</v>
      </c>
      <c r="C260" t="s">
        <v>278</v>
      </c>
      <c r="D260" t="s">
        <v>3</v>
      </c>
      <c r="E260" t="s">
        <v>14</v>
      </c>
      <c r="F260">
        <v>34</v>
      </c>
      <c r="G260" t="s">
        <v>17</v>
      </c>
      <c r="H260">
        <v>5</v>
      </c>
      <c r="I260">
        <v>456</v>
      </c>
      <c r="J260">
        <v>2280</v>
      </c>
    </row>
    <row r="261" spans="1:10" x14ac:dyDescent="0.3">
      <c r="A261">
        <v>260</v>
      </c>
      <c r="B261" s="1">
        <v>45186</v>
      </c>
      <c r="C261" t="s">
        <v>279</v>
      </c>
      <c r="D261" t="s">
        <v>2</v>
      </c>
      <c r="E261" t="s">
        <v>14</v>
      </c>
      <c r="F261">
        <v>54</v>
      </c>
      <c r="G261" t="s">
        <v>20</v>
      </c>
      <c r="H261">
        <v>2</v>
      </c>
      <c r="I261">
        <v>363</v>
      </c>
      <c r="J261">
        <v>726</v>
      </c>
    </row>
    <row r="262" spans="1:10" x14ac:dyDescent="0.3">
      <c r="A262">
        <v>261</v>
      </c>
      <c r="B262" s="1">
        <v>45187</v>
      </c>
      <c r="C262" t="s">
        <v>280</v>
      </c>
      <c r="D262" t="s">
        <v>1</v>
      </c>
      <c r="E262" t="s">
        <v>14</v>
      </c>
      <c r="F262">
        <v>41</v>
      </c>
      <c r="G262" t="s">
        <v>27</v>
      </c>
      <c r="H262">
        <v>2</v>
      </c>
      <c r="I262">
        <v>357</v>
      </c>
      <c r="J262">
        <v>714</v>
      </c>
    </row>
    <row r="263" spans="1:10" x14ac:dyDescent="0.3">
      <c r="A263">
        <v>262</v>
      </c>
      <c r="B263" s="1">
        <v>45188</v>
      </c>
      <c r="C263" t="s">
        <v>281</v>
      </c>
      <c r="D263" t="s">
        <v>3</v>
      </c>
      <c r="E263" t="s">
        <v>14</v>
      </c>
      <c r="F263">
        <v>50</v>
      </c>
      <c r="G263" t="s">
        <v>20</v>
      </c>
      <c r="H263">
        <v>5</v>
      </c>
      <c r="I263">
        <v>432</v>
      </c>
      <c r="J263">
        <v>2160</v>
      </c>
    </row>
    <row r="264" spans="1:10" x14ac:dyDescent="0.3">
      <c r="A264">
        <v>263</v>
      </c>
      <c r="B264" s="1">
        <v>45189</v>
      </c>
      <c r="C264" t="s">
        <v>282</v>
      </c>
      <c r="D264" t="s">
        <v>3</v>
      </c>
      <c r="E264" t="s">
        <v>14</v>
      </c>
      <c r="F264">
        <v>54</v>
      </c>
      <c r="G264" t="s">
        <v>17</v>
      </c>
      <c r="H264">
        <v>5</v>
      </c>
      <c r="I264">
        <v>122</v>
      </c>
      <c r="J264">
        <v>610</v>
      </c>
    </row>
    <row r="265" spans="1:10" x14ac:dyDescent="0.3">
      <c r="A265">
        <v>264</v>
      </c>
      <c r="B265" s="1">
        <v>45190</v>
      </c>
      <c r="C265" t="s">
        <v>283</v>
      </c>
      <c r="D265" t="s">
        <v>1</v>
      </c>
      <c r="E265" t="s">
        <v>19</v>
      </c>
      <c r="F265">
        <v>26</v>
      </c>
      <c r="G265" t="s">
        <v>17</v>
      </c>
      <c r="H265">
        <v>3</v>
      </c>
      <c r="I265">
        <v>400</v>
      </c>
      <c r="J265">
        <v>1200</v>
      </c>
    </row>
    <row r="266" spans="1:10" x14ac:dyDescent="0.3">
      <c r="A266">
        <v>265</v>
      </c>
      <c r="B266" s="1">
        <v>45191</v>
      </c>
      <c r="C266" t="s">
        <v>284</v>
      </c>
      <c r="D266" t="s">
        <v>2</v>
      </c>
      <c r="E266" t="s">
        <v>19</v>
      </c>
      <c r="F266">
        <v>44</v>
      </c>
      <c r="G266" t="s">
        <v>20</v>
      </c>
      <c r="H266">
        <v>4</v>
      </c>
      <c r="I266">
        <v>311</v>
      </c>
      <c r="J266">
        <v>1244</v>
      </c>
    </row>
    <row r="267" spans="1:10" x14ac:dyDescent="0.3">
      <c r="A267">
        <v>266</v>
      </c>
      <c r="B267" s="1">
        <v>45192</v>
      </c>
      <c r="C267" t="s">
        <v>285</v>
      </c>
      <c r="D267" t="s">
        <v>3</v>
      </c>
      <c r="E267" t="s">
        <v>19</v>
      </c>
      <c r="F267">
        <v>27</v>
      </c>
      <c r="G267" t="s">
        <v>15</v>
      </c>
      <c r="H267">
        <v>3</v>
      </c>
      <c r="I267">
        <v>500</v>
      </c>
      <c r="J267">
        <v>1500</v>
      </c>
    </row>
    <row r="268" spans="1:10" x14ac:dyDescent="0.3">
      <c r="A268">
        <v>267</v>
      </c>
      <c r="B268" s="1">
        <v>45193</v>
      </c>
      <c r="C268" t="s">
        <v>286</v>
      </c>
      <c r="D268" t="s">
        <v>1</v>
      </c>
      <c r="E268" t="s">
        <v>14</v>
      </c>
      <c r="F268">
        <v>20</v>
      </c>
      <c r="G268" t="s">
        <v>20</v>
      </c>
      <c r="H268">
        <v>4</v>
      </c>
      <c r="I268">
        <v>411</v>
      </c>
      <c r="J268">
        <v>1644</v>
      </c>
    </row>
    <row r="269" spans="1:10" x14ac:dyDescent="0.3">
      <c r="A269">
        <v>268</v>
      </c>
      <c r="B269" s="1">
        <v>45194</v>
      </c>
      <c r="C269" t="s">
        <v>287</v>
      </c>
      <c r="D269" t="s">
        <v>2</v>
      </c>
      <c r="E269" t="s">
        <v>14</v>
      </c>
      <c r="F269">
        <v>18</v>
      </c>
      <c r="G269" t="s">
        <v>27</v>
      </c>
      <c r="H269">
        <v>2</v>
      </c>
      <c r="I269">
        <v>49</v>
      </c>
      <c r="J269">
        <v>98</v>
      </c>
    </row>
    <row r="270" spans="1:10" x14ac:dyDescent="0.3">
      <c r="A270">
        <v>269</v>
      </c>
      <c r="B270" s="1">
        <v>45195</v>
      </c>
      <c r="C270" t="s">
        <v>288</v>
      </c>
      <c r="D270" t="s">
        <v>2</v>
      </c>
      <c r="E270" t="s">
        <v>19</v>
      </c>
      <c r="F270">
        <v>38</v>
      </c>
      <c r="G270" t="s">
        <v>23</v>
      </c>
      <c r="H270">
        <v>5</v>
      </c>
      <c r="I270">
        <v>38</v>
      </c>
      <c r="J270">
        <v>190</v>
      </c>
    </row>
    <row r="271" spans="1:10" x14ac:dyDescent="0.3">
      <c r="A271">
        <v>270</v>
      </c>
      <c r="B271" s="1">
        <v>45196</v>
      </c>
      <c r="C271" t="s">
        <v>289</v>
      </c>
      <c r="D271" t="s">
        <v>3</v>
      </c>
      <c r="E271" t="s">
        <v>19</v>
      </c>
      <c r="F271">
        <v>56</v>
      </c>
      <c r="G271" t="s">
        <v>20</v>
      </c>
      <c r="H271">
        <v>1</v>
      </c>
      <c r="I271">
        <v>210</v>
      </c>
      <c r="J271">
        <v>210</v>
      </c>
    </row>
    <row r="272" spans="1:10" x14ac:dyDescent="0.3">
      <c r="A272">
        <v>271</v>
      </c>
      <c r="B272" s="1">
        <v>45197</v>
      </c>
      <c r="C272" t="s">
        <v>290</v>
      </c>
      <c r="D272" t="s">
        <v>4</v>
      </c>
      <c r="E272" t="s">
        <v>14</v>
      </c>
      <c r="F272">
        <v>18</v>
      </c>
      <c r="G272" t="s">
        <v>15</v>
      </c>
      <c r="H272">
        <v>2</v>
      </c>
      <c r="I272">
        <v>126</v>
      </c>
      <c r="J272">
        <v>252</v>
      </c>
    </row>
    <row r="273" spans="1:10" x14ac:dyDescent="0.3">
      <c r="A273">
        <v>272</v>
      </c>
      <c r="B273" s="1">
        <v>45198</v>
      </c>
      <c r="C273" t="s">
        <v>291</v>
      </c>
      <c r="D273" t="s">
        <v>4</v>
      </c>
      <c r="E273" t="s">
        <v>14</v>
      </c>
      <c r="F273">
        <v>31</v>
      </c>
      <c r="G273" t="s">
        <v>20</v>
      </c>
      <c r="H273">
        <v>1</v>
      </c>
      <c r="I273">
        <v>413</v>
      </c>
      <c r="J273">
        <v>413</v>
      </c>
    </row>
    <row r="274" spans="1:10" x14ac:dyDescent="0.3">
      <c r="A274">
        <v>273</v>
      </c>
      <c r="B274" s="1">
        <v>45199</v>
      </c>
      <c r="C274" t="s">
        <v>292</v>
      </c>
      <c r="D274" t="s">
        <v>3</v>
      </c>
      <c r="E274" t="s">
        <v>14</v>
      </c>
      <c r="F274">
        <v>56</v>
      </c>
      <c r="G274" t="s">
        <v>27</v>
      </c>
      <c r="H274">
        <v>2</v>
      </c>
      <c r="I274">
        <v>260</v>
      </c>
      <c r="J274">
        <v>520</v>
      </c>
    </row>
    <row r="275" spans="1:10" x14ac:dyDescent="0.3">
      <c r="A275">
        <v>274</v>
      </c>
      <c r="B275" s="1">
        <v>45200</v>
      </c>
      <c r="C275" t="s">
        <v>293</v>
      </c>
      <c r="D275" t="s">
        <v>2</v>
      </c>
      <c r="E275" t="s">
        <v>19</v>
      </c>
      <c r="F275">
        <v>23</v>
      </c>
      <c r="G275" t="s">
        <v>15</v>
      </c>
      <c r="H275">
        <v>1</v>
      </c>
      <c r="I275">
        <v>50</v>
      </c>
      <c r="J275">
        <v>50</v>
      </c>
    </row>
    <row r="276" spans="1:10" x14ac:dyDescent="0.3">
      <c r="A276">
        <v>275</v>
      </c>
      <c r="B276" s="1">
        <v>45201</v>
      </c>
      <c r="C276" t="s">
        <v>294</v>
      </c>
      <c r="D276" t="s">
        <v>3</v>
      </c>
      <c r="E276" t="s">
        <v>14</v>
      </c>
      <c r="F276">
        <v>23</v>
      </c>
      <c r="G276" t="s">
        <v>27</v>
      </c>
      <c r="H276">
        <v>1</v>
      </c>
      <c r="I276">
        <v>494</v>
      </c>
      <c r="J276">
        <v>494</v>
      </c>
    </row>
    <row r="277" spans="1:10" x14ac:dyDescent="0.3">
      <c r="A277">
        <v>276</v>
      </c>
      <c r="B277" s="1">
        <v>45202</v>
      </c>
      <c r="C277" t="s">
        <v>295</v>
      </c>
      <c r="D277" t="s">
        <v>1</v>
      </c>
      <c r="E277" t="s">
        <v>19</v>
      </c>
      <c r="F277">
        <v>34</v>
      </c>
      <c r="G277" t="s">
        <v>15</v>
      </c>
      <c r="H277">
        <v>4</v>
      </c>
      <c r="I277">
        <v>347</v>
      </c>
      <c r="J277">
        <v>1388</v>
      </c>
    </row>
    <row r="278" spans="1:10" x14ac:dyDescent="0.3">
      <c r="A278">
        <v>277</v>
      </c>
      <c r="B278" s="1">
        <v>45203</v>
      </c>
      <c r="C278" t="s">
        <v>296</v>
      </c>
      <c r="D278" t="s">
        <v>4</v>
      </c>
      <c r="E278" t="s">
        <v>19</v>
      </c>
      <c r="F278">
        <v>25</v>
      </c>
      <c r="G278" t="s">
        <v>23</v>
      </c>
      <c r="H278">
        <v>2</v>
      </c>
      <c r="I278">
        <v>165</v>
      </c>
      <c r="J278">
        <v>330</v>
      </c>
    </row>
    <row r="279" spans="1:10" x14ac:dyDescent="0.3">
      <c r="A279">
        <v>278</v>
      </c>
      <c r="B279" s="1">
        <v>45204</v>
      </c>
      <c r="C279" t="s">
        <v>297</v>
      </c>
      <c r="D279" t="s">
        <v>1</v>
      </c>
      <c r="E279" t="s">
        <v>19</v>
      </c>
      <c r="F279">
        <v>51</v>
      </c>
      <c r="G279" t="s">
        <v>20</v>
      </c>
      <c r="H279">
        <v>2</v>
      </c>
      <c r="I279">
        <v>273</v>
      </c>
      <c r="J279">
        <v>546</v>
      </c>
    </row>
    <row r="280" spans="1:10" x14ac:dyDescent="0.3">
      <c r="A280">
        <v>279</v>
      </c>
      <c r="B280" s="1">
        <v>45205</v>
      </c>
      <c r="C280" t="s">
        <v>298</v>
      </c>
      <c r="D280" t="s">
        <v>3</v>
      </c>
      <c r="E280" t="s">
        <v>14</v>
      </c>
      <c r="F280">
        <v>19</v>
      </c>
      <c r="G280" t="s">
        <v>15</v>
      </c>
      <c r="H280">
        <v>1</v>
      </c>
      <c r="I280">
        <v>368</v>
      </c>
      <c r="J280">
        <v>368</v>
      </c>
    </row>
    <row r="281" spans="1:10" x14ac:dyDescent="0.3">
      <c r="A281">
        <v>280</v>
      </c>
      <c r="B281" s="1">
        <v>45206</v>
      </c>
      <c r="C281" t="s">
        <v>299</v>
      </c>
      <c r="D281" t="s">
        <v>3</v>
      </c>
      <c r="E281" t="s">
        <v>19</v>
      </c>
      <c r="F281">
        <v>56</v>
      </c>
      <c r="G281" t="s">
        <v>17</v>
      </c>
      <c r="H281">
        <v>3</v>
      </c>
      <c r="I281">
        <v>285</v>
      </c>
      <c r="J281">
        <v>855</v>
      </c>
    </row>
    <row r="282" spans="1:10" x14ac:dyDescent="0.3">
      <c r="A282">
        <v>281</v>
      </c>
      <c r="B282" s="1">
        <v>45207</v>
      </c>
      <c r="C282" t="s">
        <v>300</v>
      </c>
      <c r="D282" t="s">
        <v>2</v>
      </c>
      <c r="E282" t="s">
        <v>14</v>
      </c>
      <c r="F282">
        <v>55</v>
      </c>
      <c r="G282" t="s">
        <v>15</v>
      </c>
      <c r="H282">
        <v>5</v>
      </c>
      <c r="I282">
        <v>350</v>
      </c>
      <c r="J282">
        <v>1750</v>
      </c>
    </row>
    <row r="283" spans="1:10" x14ac:dyDescent="0.3">
      <c r="A283">
        <v>282</v>
      </c>
      <c r="B283" s="1">
        <v>45208</v>
      </c>
      <c r="C283" t="s">
        <v>301</v>
      </c>
      <c r="D283" t="s">
        <v>2</v>
      </c>
      <c r="E283" t="s">
        <v>19</v>
      </c>
      <c r="F283">
        <v>29</v>
      </c>
      <c r="G283" t="s">
        <v>27</v>
      </c>
      <c r="H283">
        <v>2</v>
      </c>
      <c r="I283">
        <v>183</v>
      </c>
      <c r="J283">
        <v>366</v>
      </c>
    </row>
    <row r="284" spans="1:10" x14ac:dyDescent="0.3">
      <c r="A284">
        <v>283</v>
      </c>
      <c r="B284" s="1">
        <v>45209</v>
      </c>
      <c r="C284" t="s">
        <v>302</v>
      </c>
      <c r="D284" t="s">
        <v>2</v>
      </c>
      <c r="E284" t="s">
        <v>19</v>
      </c>
      <c r="F284">
        <v>28</v>
      </c>
      <c r="G284" t="s">
        <v>27</v>
      </c>
      <c r="H284">
        <v>5</v>
      </c>
      <c r="I284">
        <v>489</v>
      </c>
      <c r="J284">
        <v>2445</v>
      </c>
    </row>
    <row r="285" spans="1:10" x14ac:dyDescent="0.3">
      <c r="A285">
        <v>284</v>
      </c>
      <c r="B285" s="1">
        <v>45210</v>
      </c>
      <c r="C285" t="s">
        <v>303</v>
      </c>
      <c r="D285" t="s">
        <v>1</v>
      </c>
      <c r="E285" t="s">
        <v>19</v>
      </c>
      <c r="F285">
        <v>32</v>
      </c>
      <c r="G285" t="s">
        <v>15</v>
      </c>
      <c r="H285">
        <v>2</v>
      </c>
      <c r="I285">
        <v>103</v>
      </c>
      <c r="J285">
        <v>206</v>
      </c>
    </row>
    <row r="286" spans="1:10" x14ac:dyDescent="0.3">
      <c r="A286">
        <v>285</v>
      </c>
      <c r="B286" s="1">
        <v>45211</v>
      </c>
      <c r="C286" t="s">
        <v>304</v>
      </c>
      <c r="D286" t="s">
        <v>2</v>
      </c>
      <c r="E286" t="s">
        <v>14</v>
      </c>
      <c r="F286">
        <v>26</v>
      </c>
      <c r="G286" t="s">
        <v>15</v>
      </c>
      <c r="H286">
        <v>2</v>
      </c>
      <c r="I286">
        <v>271</v>
      </c>
      <c r="J286">
        <v>542</v>
      </c>
    </row>
    <row r="287" spans="1:10" x14ac:dyDescent="0.3">
      <c r="A287">
        <v>286</v>
      </c>
      <c r="B287" s="1">
        <v>45212</v>
      </c>
      <c r="C287" t="s">
        <v>305</v>
      </c>
      <c r="D287" t="s">
        <v>3</v>
      </c>
      <c r="E287" t="s">
        <v>14</v>
      </c>
      <c r="F287">
        <v>31</v>
      </c>
      <c r="G287" t="s">
        <v>27</v>
      </c>
      <c r="H287">
        <v>1</v>
      </c>
      <c r="I287">
        <v>130</v>
      </c>
      <c r="J287">
        <v>130</v>
      </c>
    </row>
    <row r="288" spans="1:10" x14ac:dyDescent="0.3">
      <c r="A288">
        <v>287</v>
      </c>
      <c r="B288" s="1">
        <v>45213</v>
      </c>
      <c r="C288" t="s">
        <v>306</v>
      </c>
      <c r="D288" t="s">
        <v>2</v>
      </c>
      <c r="E288" t="s">
        <v>19</v>
      </c>
      <c r="F288">
        <v>57</v>
      </c>
      <c r="G288" t="s">
        <v>27</v>
      </c>
      <c r="H288">
        <v>3</v>
      </c>
      <c r="I288">
        <v>323</v>
      </c>
      <c r="J288">
        <v>969</v>
      </c>
    </row>
    <row r="289" spans="1:10" x14ac:dyDescent="0.3">
      <c r="A289">
        <v>288</v>
      </c>
      <c r="B289" s="1">
        <v>45214</v>
      </c>
      <c r="C289" t="s">
        <v>307</v>
      </c>
      <c r="D289" t="s">
        <v>4</v>
      </c>
      <c r="E289" t="s">
        <v>19</v>
      </c>
      <c r="F289">
        <v>29</v>
      </c>
      <c r="G289" t="s">
        <v>27</v>
      </c>
      <c r="H289">
        <v>2</v>
      </c>
      <c r="I289">
        <v>68</v>
      </c>
      <c r="J289">
        <v>136</v>
      </c>
    </row>
    <row r="290" spans="1:10" x14ac:dyDescent="0.3">
      <c r="A290">
        <v>289</v>
      </c>
      <c r="B290" s="1">
        <v>45215</v>
      </c>
      <c r="C290" t="s">
        <v>308</v>
      </c>
      <c r="D290" t="s">
        <v>2</v>
      </c>
      <c r="E290" t="s">
        <v>19</v>
      </c>
      <c r="F290">
        <v>30</v>
      </c>
      <c r="G290" t="s">
        <v>23</v>
      </c>
      <c r="H290">
        <v>3</v>
      </c>
      <c r="I290">
        <v>292</v>
      </c>
      <c r="J290">
        <v>876</v>
      </c>
    </row>
    <row r="291" spans="1:10" x14ac:dyDescent="0.3">
      <c r="A291">
        <v>290</v>
      </c>
      <c r="B291" s="1">
        <v>45216</v>
      </c>
      <c r="C291" t="s">
        <v>309</v>
      </c>
      <c r="D291" t="s">
        <v>1</v>
      </c>
      <c r="E291" t="s">
        <v>14</v>
      </c>
      <c r="F291">
        <v>24</v>
      </c>
      <c r="G291" t="s">
        <v>23</v>
      </c>
      <c r="H291">
        <v>1</v>
      </c>
      <c r="I291">
        <v>209</v>
      </c>
      <c r="J291">
        <v>209</v>
      </c>
    </row>
    <row r="292" spans="1:10" x14ac:dyDescent="0.3">
      <c r="A292">
        <v>291</v>
      </c>
      <c r="B292" s="1">
        <v>45217</v>
      </c>
      <c r="C292" t="s">
        <v>310</v>
      </c>
      <c r="D292" t="s">
        <v>4</v>
      </c>
      <c r="E292" t="s">
        <v>14</v>
      </c>
      <c r="F292">
        <v>22</v>
      </c>
      <c r="G292" t="s">
        <v>20</v>
      </c>
      <c r="H292">
        <v>3</v>
      </c>
      <c r="I292">
        <v>187</v>
      </c>
      <c r="J292">
        <v>561</v>
      </c>
    </row>
    <row r="293" spans="1:10" x14ac:dyDescent="0.3">
      <c r="A293">
        <v>292</v>
      </c>
      <c r="B293" s="1">
        <v>45218</v>
      </c>
      <c r="C293" t="s">
        <v>311</v>
      </c>
      <c r="D293" t="s">
        <v>4</v>
      </c>
      <c r="E293" t="s">
        <v>14</v>
      </c>
      <c r="F293">
        <v>46</v>
      </c>
      <c r="G293" t="s">
        <v>20</v>
      </c>
      <c r="H293">
        <v>1</v>
      </c>
      <c r="I293">
        <v>317</v>
      </c>
      <c r="J293">
        <v>317</v>
      </c>
    </row>
    <row r="294" spans="1:10" x14ac:dyDescent="0.3">
      <c r="A294">
        <v>293</v>
      </c>
      <c r="B294" s="1">
        <v>45219</v>
      </c>
      <c r="C294" t="s">
        <v>312</v>
      </c>
      <c r="D294" t="s">
        <v>4</v>
      </c>
      <c r="E294" t="s">
        <v>19</v>
      </c>
      <c r="F294">
        <v>50</v>
      </c>
      <c r="G294" t="s">
        <v>27</v>
      </c>
      <c r="H294">
        <v>4</v>
      </c>
      <c r="I294">
        <v>225</v>
      </c>
      <c r="J294">
        <v>900</v>
      </c>
    </row>
    <row r="295" spans="1:10" x14ac:dyDescent="0.3">
      <c r="A295">
        <v>294</v>
      </c>
      <c r="B295" s="1">
        <v>45220</v>
      </c>
      <c r="C295" t="s">
        <v>313</v>
      </c>
      <c r="D295" t="s">
        <v>1</v>
      </c>
      <c r="E295" t="s">
        <v>19</v>
      </c>
      <c r="F295">
        <v>39</v>
      </c>
      <c r="G295" t="s">
        <v>23</v>
      </c>
      <c r="H295">
        <v>2</v>
      </c>
      <c r="I295">
        <v>127</v>
      </c>
      <c r="J295">
        <v>254</v>
      </c>
    </row>
    <row r="296" spans="1:10" x14ac:dyDescent="0.3">
      <c r="A296">
        <v>295</v>
      </c>
      <c r="B296" s="1">
        <v>45221</v>
      </c>
      <c r="C296" t="s">
        <v>314</v>
      </c>
      <c r="D296" t="s">
        <v>3</v>
      </c>
      <c r="E296" t="s">
        <v>14</v>
      </c>
      <c r="F296">
        <v>31</v>
      </c>
      <c r="G296" t="s">
        <v>27</v>
      </c>
      <c r="H296">
        <v>3</v>
      </c>
      <c r="I296">
        <v>203</v>
      </c>
      <c r="J296">
        <v>609</v>
      </c>
    </row>
    <row r="297" spans="1:10" x14ac:dyDescent="0.3">
      <c r="A297">
        <v>296</v>
      </c>
      <c r="B297" s="1">
        <v>45222</v>
      </c>
      <c r="C297" t="s">
        <v>315</v>
      </c>
      <c r="D297" t="s">
        <v>2</v>
      </c>
      <c r="E297" t="s">
        <v>19</v>
      </c>
      <c r="F297">
        <v>46</v>
      </c>
      <c r="G297" t="s">
        <v>27</v>
      </c>
      <c r="H297">
        <v>5</v>
      </c>
      <c r="I297">
        <v>434</v>
      </c>
      <c r="J297">
        <v>2170</v>
      </c>
    </row>
    <row r="298" spans="1:10" x14ac:dyDescent="0.3">
      <c r="A298">
        <v>297</v>
      </c>
      <c r="B298" s="1">
        <v>45223</v>
      </c>
      <c r="C298" t="s">
        <v>316</v>
      </c>
      <c r="D298" t="s">
        <v>4</v>
      </c>
      <c r="E298" t="s">
        <v>14</v>
      </c>
      <c r="F298">
        <v>50</v>
      </c>
      <c r="G298" t="s">
        <v>17</v>
      </c>
      <c r="H298">
        <v>5</v>
      </c>
      <c r="I298">
        <v>469</v>
      </c>
      <c r="J298">
        <v>2345</v>
      </c>
    </row>
    <row r="299" spans="1:10" x14ac:dyDescent="0.3">
      <c r="A299">
        <v>298</v>
      </c>
      <c r="B299" s="1">
        <v>45224</v>
      </c>
      <c r="C299" t="s">
        <v>317</v>
      </c>
      <c r="D299" t="s">
        <v>4</v>
      </c>
      <c r="E299" t="s">
        <v>14</v>
      </c>
      <c r="F299">
        <v>21</v>
      </c>
      <c r="G299" t="s">
        <v>27</v>
      </c>
      <c r="H299">
        <v>4</v>
      </c>
      <c r="I299">
        <v>427</v>
      </c>
      <c r="J299">
        <v>1708</v>
      </c>
    </row>
    <row r="300" spans="1:10" x14ac:dyDescent="0.3">
      <c r="A300">
        <v>299</v>
      </c>
      <c r="B300" s="1">
        <v>45225</v>
      </c>
      <c r="C300" t="s">
        <v>318</v>
      </c>
      <c r="D300" t="s">
        <v>4</v>
      </c>
      <c r="E300" t="s">
        <v>19</v>
      </c>
      <c r="F300">
        <v>42</v>
      </c>
      <c r="G300" t="s">
        <v>17</v>
      </c>
      <c r="H300">
        <v>3</v>
      </c>
      <c r="I300">
        <v>37</v>
      </c>
      <c r="J300">
        <v>111</v>
      </c>
    </row>
    <row r="301" spans="1:10" x14ac:dyDescent="0.3">
      <c r="A301">
        <v>300</v>
      </c>
      <c r="B301" s="1">
        <v>45226</v>
      </c>
      <c r="C301" t="s">
        <v>319</v>
      </c>
      <c r="D301" t="s">
        <v>3</v>
      </c>
      <c r="E301" t="s">
        <v>19</v>
      </c>
      <c r="F301">
        <v>21</v>
      </c>
      <c r="G301" t="s">
        <v>20</v>
      </c>
      <c r="H301">
        <v>1</v>
      </c>
      <c r="I301">
        <v>300</v>
      </c>
      <c r="J301">
        <v>300</v>
      </c>
    </row>
    <row r="302" spans="1:10" x14ac:dyDescent="0.3">
      <c r="A302">
        <v>301</v>
      </c>
      <c r="B302" s="1">
        <v>45227</v>
      </c>
      <c r="C302" t="s">
        <v>320</v>
      </c>
      <c r="D302" t="s">
        <v>3</v>
      </c>
      <c r="E302" t="s">
        <v>14</v>
      </c>
      <c r="F302">
        <v>56</v>
      </c>
      <c r="G302" t="s">
        <v>27</v>
      </c>
      <c r="H302">
        <v>5</v>
      </c>
      <c r="I302">
        <v>499</v>
      </c>
      <c r="J302">
        <v>2495</v>
      </c>
    </row>
    <row r="303" spans="1:10" x14ac:dyDescent="0.3">
      <c r="A303">
        <v>302</v>
      </c>
      <c r="B303" s="1">
        <v>45228</v>
      </c>
      <c r="C303" t="s">
        <v>321</v>
      </c>
      <c r="D303" t="s">
        <v>1</v>
      </c>
      <c r="E303" t="s">
        <v>19</v>
      </c>
      <c r="F303">
        <v>35</v>
      </c>
      <c r="G303" t="s">
        <v>15</v>
      </c>
      <c r="H303">
        <v>3</v>
      </c>
      <c r="I303">
        <v>66</v>
      </c>
      <c r="J303">
        <v>198</v>
      </c>
    </row>
    <row r="304" spans="1:10" x14ac:dyDescent="0.3">
      <c r="A304">
        <v>303</v>
      </c>
      <c r="B304" s="1">
        <v>45229</v>
      </c>
      <c r="C304" t="s">
        <v>322</v>
      </c>
      <c r="D304" t="s">
        <v>3</v>
      </c>
      <c r="E304" t="s">
        <v>14</v>
      </c>
      <c r="F304">
        <v>58</v>
      </c>
      <c r="G304" t="s">
        <v>20</v>
      </c>
      <c r="H304">
        <v>5</v>
      </c>
      <c r="I304">
        <v>294</v>
      </c>
      <c r="J304">
        <v>1470</v>
      </c>
    </row>
    <row r="305" spans="1:10" x14ac:dyDescent="0.3">
      <c r="A305">
        <v>304</v>
      </c>
      <c r="B305" s="1">
        <v>45230</v>
      </c>
      <c r="C305" t="s">
        <v>323</v>
      </c>
      <c r="D305" t="s">
        <v>2</v>
      </c>
      <c r="E305" t="s">
        <v>19</v>
      </c>
      <c r="F305">
        <v>47</v>
      </c>
      <c r="G305" t="s">
        <v>15</v>
      </c>
      <c r="H305">
        <v>2</v>
      </c>
      <c r="I305">
        <v>122</v>
      </c>
      <c r="J305">
        <v>244</v>
      </c>
    </row>
    <row r="306" spans="1:10" x14ac:dyDescent="0.3">
      <c r="A306">
        <v>305</v>
      </c>
      <c r="B306" s="1">
        <v>45231</v>
      </c>
      <c r="C306" t="s">
        <v>324</v>
      </c>
      <c r="D306" t="s">
        <v>1</v>
      </c>
      <c r="E306" t="s">
        <v>19</v>
      </c>
      <c r="F306">
        <v>38</v>
      </c>
      <c r="G306" t="s">
        <v>20</v>
      </c>
      <c r="H306">
        <v>4</v>
      </c>
      <c r="I306">
        <v>296</v>
      </c>
      <c r="J306">
        <v>1184</v>
      </c>
    </row>
    <row r="307" spans="1:10" x14ac:dyDescent="0.3">
      <c r="A307">
        <v>306</v>
      </c>
      <c r="B307" s="1">
        <v>45232</v>
      </c>
      <c r="C307" t="s">
        <v>325</v>
      </c>
      <c r="D307" t="s">
        <v>1</v>
      </c>
      <c r="E307" t="s">
        <v>14</v>
      </c>
      <c r="F307">
        <v>57</v>
      </c>
      <c r="G307" t="s">
        <v>23</v>
      </c>
      <c r="H307">
        <v>2</v>
      </c>
      <c r="I307">
        <v>88</v>
      </c>
      <c r="J307">
        <v>176</v>
      </c>
    </row>
    <row r="308" spans="1:10" x14ac:dyDescent="0.3">
      <c r="A308">
        <v>307</v>
      </c>
      <c r="B308" s="1">
        <v>45233</v>
      </c>
      <c r="C308" t="s">
        <v>326</v>
      </c>
      <c r="D308" t="s">
        <v>2</v>
      </c>
      <c r="E308" t="s">
        <v>14</v>
      </c>
      <c r="F308">
        <v>41</v>
      </c>
      <c r="G308" t="s">
        <v>27</v>
      </c>
      <c r="H308">
        <v>3</v>
      </c>
      <c r="I308">
        <v>44</v>
      </c>
      <c r="J308">
        <v>132</v>
      </c>
    </row>
    <row r="309" spans="1:10" x14ac:dyDescent="0.3">
      <c r="A309">
        <v>308</v>
      </c>
      <c r="B309" s="1">
        <v>45234</v>
      </c>
      <c r="C309" t="s">
        <v>327</v>
      </c>
      <c r="D309" t="s">
        <v>2</v>
      </c>
      <c r="E309" t="s">
        <v>14</v>
      </c>
      <c r="F309">
        <v>51</v>
      </c>
      <c r="G309" t="s">
        <v>17</v>
      </c>
      <c r="H309">
        <v>5</v>
      </c>
      <c r="I309">
        <v>213</v>
      </c>
      <c r="J309">
        <v>1065</v>
      </c>
    </row>
    <row r="310" spans="1:10" x14ac:dyDescent="0.3">
      <c r="A310">
        <v>309</v>
      </c>
      <c r="B310" s="1">
        <v>45235</v>
      </c>
      <c r="C310" t="s">
        <v>328</v>
      </c>
      <c r="D310" t="s">
        <v>2</v>
      </c>
      <c r="E310" t="s">
        <v>19</v>
      </c>
      <c r="F310">
        <v>38</v>
      </c>
      <c r="G310" t="s">
        <v>20</v>
      </c>
      <c r="H310">
        <v>5</v>
      </c>
      <c r="I310">
        <v>98</v>
      </c>
      <c r="J310">
        <v>490</v>
      </c>
    </row>
    <row r="311" spans="1:10" x14ac:dyDescent="0.3">
      <c r="A311">
        <v>310</v>
      </c>
      <c r="B311" s="1">
        <v>45236</v>
      </c>
      <c r="C311" t="s">
        <v>329</v>
      </c>
      <c r="D311" t="s">
        <v>1</v>
      </c>
      <c r="E311" t="s">
        <v>14</v>
      </c>
      <c r="F311">
        <v>39</v>
      </c>
      <c r="G311" t="s">
        <v>17</v>
      </c>
      <c r="H311">
        <v>5</v>
      </c>
      <c r="I311">
        <v>415</v>
      </c>
      <c r="J311">
        <v>2075</v>
      </c>
    </row>
    <row r="312" spans="1:10" x14ac:dyDescent="0.3">
      <c r="A312">
        <v>311</v>
      </c>
      <c r="B312" s="1">
        <v>45237</v>
      </c>
      <c r="C312" t="s">
        <v>330</v>
      </c>
      <c r="D312" t="s">
        <v>1</v>
      </c>
      <c r="E312" t="s">
        <v>14</v>
      </c>
      <c r="F312">
        <v>59</v>
      </c>
      <c r="G312" t="s">
        <v>27</v>
      </c>
      <c r="H312">
        <v>2</v>
      </c>
      <c r="I312">
        <v>500</v>
      </c>
      <c r="J312">
        <v>1000</v>
      </c>
    </row>
    <row r="313" spans="1:10" x14ac:dyDescent="0.3">
      <c r="A313">
        <v>312</v>
      </c>
      <c r="B313" s="1">
        <v>45238</v>
      </c>
      <c r="C313" t="s">
        <v>331</v>
      </c>
      <c r="D313" t="s">
        <v>1</v>
      </c>
      <c r="E313" t="s">
        <v>14</v>
      </c>
      <c r="F313">
        <v>32</v>
      </c>
      <c r="G313" t="s">
        <v>17</v>
      </c>
      <c r="H313">
        <v>4</v>
      </c>
      <c r="I313">
        <v>38</v>
      </c>
      <c r="J313">
        <v>152</v>
      </c>
    </row>
    <row r="314" spans="1:10" x14ac:dyDescent="0.3">
      <c r="A314">
        <v>313</v>
      </c>
      <c r="B314" s="1">
        <v>45239</v>
      </c>
      <c r="C314" t="s">
        <v>332</v>
      </c>
      <c r="D314" t="s">
        <v>2</v>
      </c>
      <c r="E314" t="s">
        <v>14</v>
      </c>
      <c r="F314">
        <v>39</v>
      </c>
      <c r="G314" t="s">
        <v>17</v>
      </c>
      <c r="H314">
        <v>4</v>
      </c>
      <c r="I314">
        <v>221</v>
      </c>
      <c r="J314">
        <v>884</v>
      </c>
    </row>
    <row r="315" spans="1:10" x14ac:dyDescent="0.3">
      <c r="A315">
        <v>314</v>
      </c>
      <c r="B315" s="1">
        <v>45240</v>
      </c>
      <c r="C315" t="s">
        <v>333</v>
      </c>
      <c r="D315" t="s">
        <v>2</v>
      </c>
      <c r="E315" t="s">
        <v>19</v>
      </c>
      <c r="F315">
        <v>43</v>
      </c>
      <c r="G315" t="s">
        <v>20</v>
      </c>
      <c r="H315">
        <v>3</v>
      </c>
      <c r="I315">
        <v>121</v>
      </c>
      <c r="J315">
        <v>363</v>
      </c>
    </row>
    <row r="316" spans="1:10" x14ac:dyDescent="0.3">
      <c r="A316">
        <v>315</v>
      </c>
      <c r="B316" s="1">
        <v>45241</v>
      </c>
      <c r="C316" t="s">
        <v>334</v>
      </c>
      <c r="D316" t="s">
        <v>4</v>
      </c>
      <c r="E316" t="s">
        <v>14</v>
      </c>
      <c r="F316">
        <v>43</v>
      </c>
      <c r="G316" t="s">
        <v>23</v>
      </c>
      <c r="H316">
        <v>4</v>
      </c>
      <c r="I316">
        <v>86</v>
      </c>
      <c r="J316">
        <v>344</v>
      </c>
    </row>
    <row r="317" spans="1:10" x14ac:dyDescent="0.3">
      <c r="A317">
        <v>316</v>
      </c>
      <c r="B317" s="1">
        <v>45242</v>
      </c>
      <c r="C317" t="s">
        <v>335</v>
      </c>
      <c r="D317" t="s">
        <v>3</v>
      </c>
      <c r="E317" t="s">
        <v>14</v>
      </c>
      <c r="F317">
        <v>47</v>
      </c>
      <c r="G317" t="s">
        <v>20</v>
      </c>
      <c r="H317">
        <v>2</v>
      </c>
      <c r="I317">
        <v>200</v>
      </c>
      <c r="J317">
        <v>400</v>
      </c>
    </row>
    <row r="318" spans="1:10" x14ac:dyDescent="0.3">
      <c r="A318">
        <v>317</v>
      </c>
      <c r="B318" s="1">
        <v>45243</v>
      </c>
      <c r="C318" t="s">
        <v>336</v>
      </c>
      <c r="D318" t="s">
        <v>4</v>
      </c>
      <c r="E318" t="s">
        <v>14</v>
      </c>
      <c r="F318">
        <v>39</v>
      </c>
      <c r="G318" t="s">
        <v>20</v>
      </c>
      <c r="H318">
        <v>3</v>
      </c>
      <c r="I318">
        <v>247</v>
      </c>
      <c r="J318">
        <v>741</v>
      </c>
    </row>
    <row r="319" spans="1:10" x14ac:dyDescent="0.3">
      <c r="A319">
        <v>318</v>
      </c>
      <c r="B319" s="1">
        <v>45244</v>
      </c>
      <c r="C319" t="s">
        <v>337</v>
      </c>
      <c r="D319" t="s">
        <v>2</v>
      </c>
      <c r="E319" t="s">
        <v>14</v>
      </c>
      <c r="F319">
        <v>27</v>
      </c>
      <c r="G319" t="s">
        <v>23</v>
      </c>
      <c r="H319">
        <v>2</v>
      </c>
      <c r="I319">
        <v>133</v>
      </c>
      <c r="J319">
        <v>266</v>
      </c>
    </row>
    <row r="320" spans="1:10" x14ac:dyDescent="0.3">
      <c r="A320">
        <v>319</v>
      </c>
      <c r="B320" s="1">
        <v>45245</v>
      </c>
      <c r="C320" t="s">
        <v>338</v>
      </c>
      <c r="D320" t="s">
        <v>1</v>
      </c>
      <c r="E320" t="s">
        <v>14</v>
      </c>
      <c r="F320">
        <v>25</v>
      </c>
      <c r="G320" t="s">
        <v>20</v>
      </c>
      <c r="H320">
        <v>5</v>
      </c>
      <c r="I320">
        <v>401</v>
      </c>
      <c r="J320">
        <v>2005</v>
      </c>
    </row>
    <row r="321" spans="1:10" x14ac:dyDescent="0.3">
      <c r="A321">
        <v>320</v>
      </c>
      <c r="B321" s="1">
        <v>45246</v>
      </c>
      <c r="C321" t="s">
        <v>339</v>
      </c>
      <c r="D321" t="s">
        <v>2</v>
      </c>
      <c r="E321" t="s">
        <v>19</v>
      </c>
      <c r="F321">
        <v>26</v>
      </c>
      <c r="G321" t="s">
        <v>23</v>
      </c>
      <c r="H321">
        <v>4</v>
      </c>
      <c r="I321">
        <v>101</v>
      </c>
      <c r="J321">
        <v>404</v>
      </c>
    </row>
    <row r="322" spans="1:10" x14ac:dyDescent="0.3">
      <c r="A322">
        <v>321</v>
      </c>
      <c r="B322" s="1">
        <v>45247</v>
      </c>
      <c r="C322" t="s">
        <v>340</v>
      </c>
      <c r="D322" t="s">
        <v>3</v>
      </c>
      <c r="E322" t="s">
        <v>14</v>
      </c>
      <c r="F322">
        <v>46</v>
      </c>
      <c r="G322" t="s">
        <v>23</v>
      </c>
      <c r="H322">
        <v>3</v>
      </c>
      <c r="I322">
        <v>176</v>
      </c>
      <c r="J322">
        <v>528</v>
      </c>
    </row>
    <row r="323" spans="1:10" x14ac:dyDescent="0.3">
      <c r="A323">
        <v>322</v>
      </c>
      <c r="B323" s="1">
        <v>45248</v>
      </c>
      <c r="C323" t="s">
        <v>341</v>
      </c>
      <c r="D323" t="s">
        <v>4</v>
      </c>
      <c r="E323" t="s">
        <v>19</v>
      </c>
      <c r="F323">
        <v>34</v>
      </c>
      <c r="G323" t="s">
        <v>27</v>
      </c>
      <c r="H323">
        <v>3</v>
      </c>
      <c r="I323">
        <v>471</v>
      </c>
      <c r="J323">
        <v>1413</v>
      </c>
    </row>
    <row r="324" spans="1:10" x14ac:dyDescent="0.3">
      <c r="A324">
        <v>323</v>
      </c>
      <c r="B324" s="1">
        <v>45249</v>
      </c>
      <c r="C324" t="s">
        <v>342</v>
      </c>
      <c r="D324" t="s">
        <v>4</v>
      </c>
      <c r="E324" t="s">
        <v>14</v>
      </c>
      <c r="F324">
        <v>30</v>
      </c>
      <c r="G324" t="s">
        <v>27</v>
      </c>
      <c r="H324">
        <v>2</v>
      </c>
      <c r="I324">
        <v>258</v>
      </c>
      <c r="J324">
        <v>516</v>
      </c>
    </row>
    <row r="325" spans="1:10" x14ac:dyDescent="0.3">
      <c r="A325">
        <v>324</v>
      </c>
      <c r="B325" s="1">
        <v>45250</v>
      </c>
      <c r="C325" t="s">
        <v>343</v>
      </c>
      <c r="D325" t="s">
        <v>1</v>
      </c>
      <c r="E325" t="s">
        <v>19</v>
      </c>
      <c r="F325">
        <v>60</v>
      </c>
      <c r="G325" t="s">
        <v>23</v>
      </c>
      <c r="H325">
        <v>4</v>
      </c>
      <c r="I325">
        <v>227</v>
      </c>
      <c r="J325">
        <v>908</v>
      </c>
    </row>
    <row r="326" spans="1:10" x14ac:dyDescent="0.3">
      <c r="A326">
        <v>325</v>
      </c>
      <c r="B326" s="1">
        <v>45251</v>
      </c>
      <c r="C326" t="s">
        <v>344</v>
      </c>
      <c r="D326" t="s">
        <v>4</v>
      </c>
      <c r="E326" t="s">
        <v>19</v>
      </c>
      <c r="F326">
        <v>47</v>
      </c>
      <c r="G326" t="s">
        <v>17</v>
      </c>
      <c r="H326">
        <v>3</v>
      </c>
      <c r="I326">
        <v>379</v>
      </c>
      <c r="J326">
        <v>1137</v>
      </c>
    </row>
    <row r="327" spans="1:10" x14ac:dyDescent="0.3">
      <c r="A327">
        <v>326</v>
      </c>
      <c r="B327" s="1">
        <v>45252</v>
      </c>
      <c r="C327" t="s">
        <v>345</v>
      </c>
      <c r="D327" t="s">
        <v>4</v>
      </c>
      <c r="E327" t="s">
        <v>14</v>
      </c>
      <c r="F327">
        <v>41</v>
      </c>
      <c r="G327" t="s">
        <v>17</v>
      </c>
      <c r="H327">
        <v>2</v>
      </c>
      <c r="I327">
        <v>470</v>
      </c>
      <c r="J327">
        <v>940</v>
      </c>
    </row>
    <row r="328" spans="1:10" x14ac:dyDescent="0.3">
      <c r="A328">
        <v>327</v>
      </c>
      <c r="B328" s="1">
        <v>45253</v>
      </c>
      <c r="C328" t="s">
        <v>346</v>
      </c>
      <c r="D328" t="s">
        <v>2</v>
      </c>
      <c r="E328" t="s">
        <v>14</v>
      </c>
      <c r="F328">
        <v>21</v>
      </c>
      <c r="G328" t="s">
        <v>23</v>
      </c>
      <c r="H328">
        <v>1</v>
      </c>
      <c r="I328">
        <v>26</v>
      </c>
      <c r="J328">
        <v>26</v>
      </c>
    </row>
    <row r="329" spans="1:10" x14ac:dyDescent="0.3">
      <c r="A329">
        <v>328</v>
      </c>
      <c r="B329" s="1">
        <v>45254</v>
      </c>
      <c r="C329" t="s">
        <v>347</v>
      </c>
      <c r="D329" t="s">
        <v>4</v>
      </c>
      <c r="E329" t="s">
        <v>19</v>
      </c>
      <c r="F329">
        <v>37</v>
      </c>
      <c r="G329" t="s">
        <v>27</v>
      </c>
      <c r="H329">
        <v>2</v>
      </c>
      <c r="I329">
        <v>133</v>
      </c>
      <c r="J329">
        <v>266</v>
      </c>
    </row>
    <row r="330" spans="1:10" x14ac:dyDescent="0.3">
      <c r="A330">
        <v>329</v>
      </c>
      <c r="B330" s="1">
        <v>45255</v>
      </c>
      <c r="C330" t="s">
        <v>348</v>
      </c>
      <c r="D330" t="s">
        <v>4</v>
      </c>
      <c r="E330" t="s">
        <v>19</v>
      </c>
      <c r="F330">
        <v>37</v>
      </c>
      <c r="G330" t="s">
        <v>15</v>
      </c>
      <c r="H330">
        <v>3</v>
      </c>
      <c r="I330">
        <v>375</v>
      </c>
      <c r="J330">
        <v>1125</v>
      </c>
    </row>
    <row r="331" spans="1:10" x14ac:dyDescent="0.3">
      <c r="A331">
        <v>330</v>
      </c>
      <c r="B331" s="1">
        <v>45256</v>
      </c>
      <c r="C331" t="s">
        <v>349</v>
      </c>
      <c r="D331" t="s">
        <v>4</v>
      </c>
      <c r="E331" t="s">
        <v>14</v>
      </c>
      <c r="F331">
        <v>33</v>
      </c>
      <c r="G331" t="s">
        <v>17</v>
      </c>
      <c r="H331">
        <v>2</v>
      </c>
      <c r="I331">
        <v>319</v>
      </c>
      <c r="J331">
        <v>638</v>
      </c>
    </row>
    <row r="332" spans="1:10" x14ac:dyDescent="0.3">
      <c r="A332">
        <v>331</v>
      </c>
      <c r="B332" s="1">
        <v>45257</v>
      </c>
      <c r="C332" t="s">
        <v>350</v>
      </c>
      <c r="D332" t="s">
        <v>1</v>
      </c>
      <c r="E332" t="s">
        <v>19</v>
      </c>
      <c r="F332">
        <v>21</v>
      </c>
      <c r="G332" t="s">
        <v>15</v>
      </c>
      <c r="H332">
        <v>5</v>
      </c>
      <c r="I332">
        <v>241</v>
      </c>
      <c r="J332">
        <v>1205</v>
      </c>
    </row>
    <row r="333" spans="1:10" x14ac:dyDescent="0.3">
      <c r="A333">
        <v>332</v>
      </c>
      <c r="B333" s="1">
        <v>45258</v>
      </c>
      <c r="C333" t="s">
        <v>351</v>
      </c>
      <c r="D333" t="s">
        <v>1</v>
      </c>
      <c r="E333" t="s">
        <v>14</v>
      </c>
      <c r="F333">
        <v>44</v>
      </c>
      <c r="G333" t="s">
        <v>17</v>
      </c>
      <c r="H333">
        <v>4</v>
      </c>
      <c r="I333">
        <v>30</v>
      </c>
      <c r="J333">
        <v>120</v>
      </c>
    </row>
    <row r="334" spans="1:10" x14ac:dyDescent="0.3">
      <c r="A334">
        <v>333</v>
      </c>
      <c r="B334" s="1">
        <v>45259</v>
      </c>
      <c r="C334" t="s">
        <v>352</v>
      </c>
      <c r="D334" t="s">
        <v>2</v>
      </c>
      <c r="E334" t="s">
        <v>14</v>
      </c>
      <c r="F334">
        <v>39</v>
      </c>
      <c r="G334" t="s">
        <v>23</v>
      </c>
      <c r="H334">
        <v>3</v>
      </c>
      <c r="I334">
        <v>50</v>
      </c>
      <c r="J334">
        <v>150</v>
      </c>
    </row>
    <row r="335" spans="1:10" x14ac:dyDescent="0.3">
      <c r="A335">
        <v>334</v>
      </c>
      <c r="B335" s="1">
        <v>45260</v>
      </c>
      <c r="C335" t="s">
        <v>353</v>
      </c>
      <c r="D335" t="s">
        <v>4</v>
      </c>
      <c r="E335" t="s">
        <v>19</v>
      </c>
      <c r="F335">
        <v>56</v>
      </c>
      <c r="G335" t="s">
        <v>20</v>
      </c>
      <c r="H335">
        <v>1</v>
      </c>
      <c r="I335">
        <v>93</v>
      </c>
      <c r="J335">
        <v>93</v>
      </c>
    </row>
    <row r="336" spans="1:10" x14ac:dyDescent="0.3">
      <c r="A336">
        <v>335</v>
      </c>
      <c r="B336" s="1">
        <v>45261</v>
      </c>
      <c r="C336" t="s">
        <v>354</v>
      </c>
      <c r="D336" t="s">
        <v>1</v>
      </c>
      <c r="E336" t="s">
        <v>14</v>
      </c>
      <c r="F336">
        <v>22</v>
      </c>
      <c r="G336" t="s">
        <v>27</v>
      </c>
      <c r="H336">
        <v>2</v>
      </c>
      <c r="I336">
        <v>39</v>
      </c>
      <c r="J336">
        <v>78</v>
      </c>
    </row>
    <row r="337" spans="1:10" x14ac:dyDescent="0.3">
      <c r="A337">
        <v>336</v>
      </c>
      <c r="B337" s="1">
        <v>45262</v>
      </c>
      <c r="C337" t="s">
        <v>355</v>
      </c>
      <c r="D337" t="s">
        <v>1</v>
      </c>
      <c r="E337" t="s">
        <v>14</v>
      </c>
      <c r="F337">
        <v>53</v>
      </c>
      <c r="G337" t="s">
        <v>15</v>
      </c>
      <c r="H337">
        <v>1</v>
      </c>
      <c r="I337">
        <v>144</v>
      </c>
      <c r="J337">
        <v>144</v>
      </c>
    </row>
    <row r="338" spans="1:10" x14ac:dyDescent="0.3">
      <c r="A338">
        <v>337</v>
      </c>
      <c r="B338" s="1">
        <v>45263</v>
      </c>
      <c r="C338" t="s">
        <v>356</v>
      </c>
      <c r="D338" t="s">
        <v>2</v>
      </c>
      <c r="E338" t="s">
        <v>14</v>
      </c>
      <c r="F338">
        <v>40</v>
      </c>
      <c r="G338" t="s">
        <v>15</v>
      </c>
      <c r="H338">
        <v>5</v>
      </c>
      <c r="I338">
        <v>68</v>
      </c>
      <c r="J338">
        <v>340</v>
      </c>
    </row>
    <row r="339" spans="1:10" x14ac:dyDescent="0.3">
      <c r="A339">
        <v>338</v>
      </c>
      <c r="B339" s="1">
        <v>45264</v>
      </c>
      <c r="C339" t="s">
        <v>357</v>
      </c>
      <c r="D339" t="s">
        <v>3</v>
      </c>
      <c r="E339" t="s">
        <v>14</v>
      </c>
      <c r="F339">
        <v>18</v>
      </c>
      <c r="G339" t="s">
        <v>17</v>
      </c>
      <c r="H339">
        <v>3</v>
      </c>
      <c r="I339">
        <v>59</v>
      </c>
      <c r="J339">
        <v>177</v>
      </c>
    </row>
    <row r="340" spans="1:10" x14ac:dyDescent="0.3">
      <c r="A340">
        <v>339</v>
      </c>
      <c r="B340" s="1">
        <v>45265</v>
      </c>
      <c r="C340" t="s">
        <v>358</v>
      </c>
      <c r="D340" t="s">
        <v>4</v>
      </c>
      <c r="E340" t="s">
        <v>19</v>
      </c>
      <c r="F340">
        <v>39</v>
      </c>
      <c r="G340" t="s">
        <v>20</v>
      </c>
      <c r="H340">
        <v>4</v>
      </c>
      <c r="I340">
        <v>38</v>
      </c>
      <c r="J340">
        <v>152</v>
      </c>
    </row>
    <row r="341" spans="1:10" x14ac:dyDescent="0.3">
      <c r="A341">
        <v>340</v>
      </c>
      <c r="B341" s="1">
        <v>45266</v>
      </c>
      <c r="C341" t="s">
        <v>359</v>
      </c>
      <c r="D341" t="s">
        <v>1</v>
      </c>
      <c r="E341" t="s">
        <v>19</v>
      </c>
      <c r="F341">
        <v>35</v>
      </c>
      <c r="G341" t="s">
        <v>20</v>
      </c>
      <c r="H341">
        <v>2</v>
      </c>
      <c r="I341">
        <v>158</v>
      </c>
      <c r="J341">
        <v>316</v>
      </c>
    </row>
    <row r="342" spans="1:10" x14ac:dyDescent="0.3">
      <c r="A342">
        <v>341</v>
      </c>
      <c r="B342" s="1">
        <v>45267</v>
      </c>
      <c r="C342" t="s">
        <v>360</v>
      </c>
      <c r="D342" t="s">
        <v>2</v>
      </c>
      <c r="E342" t="s">
        <v>14</v>
      </c>
      <c r="F342">
        <v>58</v>
      </c>
      <c r="G342" t="s">
        <v>27</v>
      </c>
      <c r="H342">
        <v>2</v>
      </c>
      <c r="I342">
        <v>324</v>
      </c>
      <c r="J342">
        <v>648</v>
      </c>
    </row>
    <row r="343" spans="1:10" x14ac:dyDescent="0.3">
      <c r="A343">
        <v>342</v>
      </c>
      <c r="B343" s="1">
        <v>45268</v>
      </c>
      <c r="C343" t="s">
        <v>361</v>
      </c>
      <c r="D343" t="s">
        <v>2</v>
      </c>
      <c r="E343" t="s">
        <v>14</v>
      </c>
      <c r="F343">
        <v>50</v>
      </c>
      <c r="G343" t="s">
        <v>20</v>
      </c>
      <c r="H343">
        <v>2</v>
      </c>
      <c r="I343">
        <v>261</v>
      </c>
      <c r="J343">
        <v>522</v>
      </c>
    </row>
    <row r="344" spans="1:10" x14ac:dyDescent="0.3">
      <c r="A344">
        <v>343</v>
      </c>
      <c r="B344" s="1">
        <v>45269</v>
      </c>
      <c r="C344" t="s">
        <v>362</v>
      </c>
      <c r="D344" t="s">
        <v>2</v>
      </c>
      <c r="E344" t="s">
        <v>19</v>
      </c>
      <c r="F344">
        <v>33</v>
      </c>
      <c r="G344" t="s">
        <v>15</v>
      </c>
      <c r="H344">
        <v>5</v>
      </c>
      <c r="I344">
        <v>375</v>
      </c>
      <c r="J344">
        <v>1875</v>
      </c>
    </row>
    <row r="345" spans="1:10" x14ac:dyDescent="0.3">
      <c r="A345">
        <v>344</v>
      </c>
      <c r="B345" s="1">
        <v>45270</v>
      </c>
      <c r="C345" t="s">
        <v>363</v>
      </c>
      <c r="D345" t="s">
        <v>1</v>
      </c>
      <c r="E345" t="s">
        <v>19</v>
      </c>
      <c r="F345">
        <v>28</v>
      </c>
      <c r="G345" t="s">
        <v>15</v>
      </c>
      <c r="H345">
        <v>5</v>
      </c>
      <c r="I345">
        <v>448</v>
      </c>
      <c r="J345">
        <v>2240</v>
      </c>
    </row>
    <row r="346" spans="1:10" x14ac:dyDescent="0.3">
      <c r="A346">
        <v>345</v>
      </c>
      <c r="B346" s="1">
        <v>45271</v>
      </c>
      <c r="C346" t="s">
        <v>364</v>
      </c>
      <c r="D346" t="s">
        <v>4</v>
      </c>
      <c r="E346" t="s">
        <v>19</v>
      </c>
      <c r="F346">
        <v>54</v>
      </c>
      <c r="G346" t="s">
        <v>27</v>
      </c>
      <c r="H346">
        <v>5</v>
      </c>
      <c r="I346">
        <v>317</v>
      </c>
      <c r="J346">
        <v>1585</v>
      </c>
    </row>
    <row r="347" spans="1:10" x14ac:dyDescent="0.3">
      <c r="A347">
        <v>346</v>
      </c>
      <c r="B347" s="1">
        <v>45272</v>
      </c>
      <c r="C347" t="s">
        <v>365</v>
      </c>
      <c r="D347" t="s">
        <v>3</v>
      </c>
      <c r="E347" t="s">
        <v>14</v>
      </c>
      <c r="F347">
        <v>42</v>
      </c>
      <c r="G347" t="s">
        <v>27</v>
      </c>
      <c r="H347">
        <v>5</v>
      </c>
      <c r="I347">
        <v>156</v>
      </c>
      <c r="J347">
        <v>780</v>
      </c>
    </row>
    <row r="348" spans="1:10" x14ac:dyDescent="0.3">
      <c r="A348">
        <v>347</v>
      </c>
      <c r="B348" s="1">
        <v>45273</v>
      </c>
      <c r="C348" t="s">
        <v>366</v>
      </c>
      <c r="D348" t="s">
        <v>4</v>
      </c>
      <c r="E348" t="s">
        <v>14</v>
      </c>
      <c r="F348">
        <v>22</v>
      </c>
      <c r="G348" t="s">
        <v>23</v>
      </c>
      <c r="H348">
        <v>5</v>
      </c>
      <c r="I348">
        <v>329</v>
      </c>
      <c r="J348">
        <v>1645</v>
      </c>
    </row>
    <row r="349" spans="1:10" x14ac:dyDescent="0.3">
      <c r="A349">
        <v>348</v>
      </c>
      <c r="B349" s="1">
        <v>45274</v>
      </c>
      <c r="C349" t="s">
        <v>367</v>
      </c>
      <c r="D349" t="s">
        <v>2</v>
      </c>
      <c r="E349" t="s">
        <v>19</v>
      </c>
      <c r="F349">
        <v>56</v>
      </c>
      <c r="G349" t="s">
        <v>17</v>
      </c>
      <c r="H349">
        <v>1</v>
      </c>
      <c r="I349">
        <v>61</v>
      </c>
      <c r="J349">
        <v>61</v>
      </c>
    </row>
    <row r="350" spans="1:10" x14ac:dyDescent="0.3">
      <c r="A350">
        <v>349</v>
      </c>
      <c r="B350" s="1">
        <v>45275</v>
      </c>
      <c r="C350" t="s">
        <v>368</v>
      </c>
      <c r="D350" t="s">
        <v>2</v>
      </c>
      <c r="E350" t="s">
        <v>14</v>
      </c>
      <c r="F350">
        <v>24</v>
      </c>
      <c r="G350" t="s">
        <v>23</v>
      </c>
      <c r="H350">
        <v>5</v>
      </c>
      <c r="I350">
        <v>366</v>
      </c>
      <c r="J350">
        <v>1830</v>
      </c>
    </row>
    <row r="351" spans="1:10" x14ac:dyDescent="0.3">
      <c r="A351">
        <v>350</v>
      </c>
      <c r="B351" s="1">
        <v>45276</v>
      </c>
      <c r="C351" t="s">
        <v>369</v>
      </c>
      <c r="D351" t="s">
        <v>3</v>
      </c>
      <c r="E351" t="s">
        <v>14</v>
      </c>
      <c r="F351">
        <v>19</v>
      </c>
      <c r="G351" t="s">
        <v>17</v>
      </c>
      <c r="H351">
        <v>3</v>
      </c>
      <c r="I351">
        <v>62</v>
      </c>
      <c r="J351">
        <v>186</v>
      </c>
    </row>
    <row r="352" spans="1:10" x14ac:dyDescent="0.3">
      <c r="A352">
        <v>351</v>
      </c>
      <c r="B352" s="1">
        <v>45277</v>
      </c>
      <c r="C352" t="s">
        <v>370</v>
      </c>
      <c r="D352" t="s">
        <v>4</v>
      </c>
      <c r="E352" t="s">
        <v>14</v>
      </c>
      <c r="F352">
        <v>26</v>
      </c>
      <c r="G352" t="s">
        <v>17</v>
      </c>
      <c r="H352">
        <v>1</v>
      </c>
      <c r="I352">
        <v>102</v>
      </c>
      <c r="J352">
        <v>102</v>
      </c>
    </row>
    <row r="353" spans="1:10" x14ac:dyDescent="0.3">
      <c r="A353">
        <v>352</v>
      </c>
      <c r="B353" s="1">
        <v>45278</v>
      </c>
      <c r="C353" t="s">
        <v>371</v>
      </c>
      <c r="D353" t="s">
        <v>2</v>
      </c>
      <c r="E353" t="s">
        <v>19</v>
      </c>
      <c r="F353">
        <v>34</v>
      </c>
      <c r="G353" t="s">
        <v>17</v>
      </c>
      <c r="H353">
        <v>2</v>
      </c>
      <c r="I353">
        <v>78</v>
      </c>
      <c r="J353">
        <v>156</v>
      </c>
    </row>
    <row r="354" spans="1:10" x14ac:dyDescent="0.3">
      <c r="A354">
        <v>353</v>
      </c>
      <c r="B354" s="1">
        <v>45279</v>
      </c>
      <c r="C354" t="s">
        <v>372</v>
      </c>
      <c r="D354" t="s">
        <v>2</v>
      </c>
      <c r="E354" t="s">
        <v>14</v>
      </c>
      <c r="F354">
        <v>56</v>
      </c>
      <c r="G354" t="s">
        <v>17</v>
      </c>
      <c r="H354">
        <v>2</v>
      </c>
      <c r="I354">
        <v>88</v>
      </c>
      <c r="J354">
        <v>176</v>
      </c>
    </row>
    <row r="355" spans="1:10" x14ac:dyDescent="0.3">
      <c r="A355">
        <v>354</v>
      </c>
      <c r="B355" s="1">
        <v>45280</v>
      </c>
      <c r="C355" t="s">
        <v>373</v>
      </c>
      <c r="D355" t="s">
        <v>4</v>
      </c>
      <c r="E355" t="s">
        <v>19</v>
      </c>
      <c r="F355">
        <v>47</v>
      </c>
      <c r="G355" t="s">
        <v>15</v>
      </c>
      <c r="H355">
        <v>3</v>
      </c>
      <c r="I355">
        <v>469</v>
      </c>
      <c r="J355">
        <v>1407</v>
      </c>
    </row>
    <row r="356" spans="1:10" x14ac:dyDescent="0.3">
      <c r="A356">
        <v>355</v>
      </c>
      <c r="B356" s="1">
        <v>45281</v>
      </c>
      <c r="C356" t="s">
        <v>374</v>
      </c>
      <c r="D356" t="s">
        <v>2</v>
      </c>
      <c r="E356" t="s">
        <v>14</v>
      </c>
      <c r="F356">
        <v>33</v>
      </c>
      <c r="G356" t="s">
        <v>20</v>
      </c>
      <c r="H356">
        <v>4</v>
      </c>
      <c r="I356">
        <v>437</v>
      </c>
      <c r="J356">
        <v>1748</v>
      </c>
    </row>
    <row r="357" spans="1:10" x14ac:dyDescent="0.3">
      <c r="A357">
        <v>356</v>
      </c>
      <c r="B357" s="1">
        <v>45282</v>
      </c>
      <c r="C357" t="s">
        <v>375</v>
      </c>
      <c r="D357" t="s">
        <v>4</v>
      </c>
      <c r="E357" t="s">
        <v>19</v>
      </c>
      <c r="F357">
        <v>35</v>
      </c>
      <c r="G357" t="s">
        <v>17</v>
      </c>
      <c r="H357">
        <v>4</v>
      </c>
      <c r="I357">
        <v>266</v>
      </c>
      <c r="J357">
        <v>1064</v>
      </c>
    </row>
    <row r="358" spans="1:10" x14ac:dyDescent="0.3">
      <c r="A358">
        <v>357</v>
      </c>
      <c r="B358" s="1">
        <v>45283</v>
      </c>
      <c r="C358" t="s">
        <v>376</v>
      </c>
      <c r="D358" t="s">
        <v>2</v>
      </c>
      <c r="E358" t="s">
        <v>19</v>
      </c>
      <c r="F358">
        <v>38</v>
      </c>
      <c r="G358" t="s">
        <v>15</v>
      </c>
      <c r="H358">
        <v>3</v>
      </c>
      <c r="I358">
        <v>481</v>
      </c>
      <c r="J358">
        <v>1443</v>
      </c>
    </row>
    <row r="359" spans="1:10" x14ac:dyDescent="0.3">
      <c r="A359">
        <v>358</v>
      </c>
      <c r="B359" s="1">
        <v>45284</v>
      </c>
      <c r="C359" t="s">
        <v>377</v>
      </c>
      <c r="D359" t="s">
        <v>4</v>
      </c>
      <c r="E359" t="s">
        <v>14</v>
      </c>
      <c r="F359">
        <v>33</v>
      </c>
      <c r="G359" t="s">
        <v>23</v>
      </c>
      <c r="H359">
        <v>1</v>
      </c>
      <c r="I359">
        <v>455</v>
      </c>
      <c r="J359">
        <v>455</v>
      </c>
    </row>
    <row r="360" spans="1:10" x14ac:dyDescent="0.3">
      <c r="A360">
        <v>359</v>
      </c>
      <c r="B360" s="1">
        <v>45285</v>
      </c>
      <c r="C360" t="s">
        <v>378</v>
      </c>
      <c r="D360" t="s">
        <v>3</v>
      </c>
      <c r="E360" t="s">
        <v>19</v>
      </c>
      <c r="F360">
        <v>20</v>
      </c>
      <c r="G360" t="s">
        <v>23</v>
      </c>
      <c r="H360">
        <v>1</v>
      </c>
      <c r="I360">
        <v>182</v>
      </c>
      <c r="J360">
        <v>182</v>
      </c>
    </row>
    <row r="361" spans="1:10" x14ac:dyDescent="0.3">
      <c r="A361">
        <v>360</v>
      </c>
      <c r="B361" s="1">
        <v>45286</v>
      </c>
      <c r="C361" t="s">
        <v>379</v>
      </c>
      <c r="D361" t="s">
        <v>2</v>
      </c>
      <c r="E361" t="s">
        <v>14</v>
      </c>
      <c r="F361">
        <v>31</v>
      </c>
      <c r="G361" t="s">
        <v>27</v>
      </c>
      <c r="H361">
        <v>2</v>
      </c>
      <c r="I361">
        <v>312</v>
      </c>
      <c r="J361">
        <v>624</v>
      </c>
    </row>
    <row r="362" spans="1:10" x14ac:dyDescent="0.3">
      <c r="A362">
        <v>361</v>
      </c>
      <c r="B362" s="1">
        <v>45287</v>
      </c>
      <c r="C362" t="s">
        <v>380</v>
      </c>
      <c r="D362" t="s">
        <v>3</v>
      </c>
      <c r="E362" t="s">
        <v>19</v>
      </c>
      <c r="F362">
        <v>46</v>
      </c>
      <c r="G362" t="s">
        <v>23</v>
      </c>
      <c r="H362">
        <v>4</v>
      </c>
      <c r="I362">
        <v>364</v>
      </c>
      <c r="J362">
        <v>1456</v>
      </c>
    </row>
    <row r="363" spans="1:10" x14ac:dyDescent="0.3">
      <c r="A363">
        <v>362</v>
      </c>
      <c r="B363" s="1">
        <v>45288</v>
      </c>
      <c r="C363" t="s">
        <v>381</v>
      </c>
      <c r="D363" t="s">
        <v>2</v>
      </c>
      <c r="E363" t="s">
        <v>14</v>
      </c>
      <c r="F363">
        <v>24</v>
      </c>
      <c r="G363" t="s">
        <v>17</v>
      </c>
      <c r="H363">
        <v>2</v>
      </c>
      <c r="I363">
        <v>286</v>
      </c>
      <c r="J363">
        <v>572</v>
      </c>
    </row>
    <row r="364" spans="1:10" x14ac:dyDescent="0.3">
      <c r="A364">
        <v>363</v>
      </c>
      <c r="B364" s="1">
        <v>45289</v>
      </c>
      <c r="C364" t="s">
        <v>382</v>
      </c>
      <c r="D364" t="s">
        <v>2</v>
      </c>
      <c r="E364" t="s">
        <v>14</v>
      </c>
      <c r="F364">
        <v>30</v>
      </c>
      <c r="G364" t="s">
        <v>27</v>
      </c>
      <c r="H364">
        <v>4</v>
      </c>
      <c r="I364">
        <v>110</v>
      </c>
      <c r="J364">
        <v>440</v>
      </c>
    </row>
    <row r="365" spans="1:10" x14ac:dyDescent="0.3">
      <c r="A365">
        <v>364</v>
      </c>
      <c r="B365" s="1">
        <v>45290</v>
      </c>
      <c r="C365" t="s">
        <v>383</v>
      </c>
      <c r="D365" t="s">
        <v>1</v>
      </c>
      <c r="E365" t="s">
        <v>14</v>
      </c>
      <c r="F365">
        <v>29</v>
      </c>
      <c r="G365" t="s">
        <v>20</v>
      </c>
      <c r="H365">
        <v>3</v>
      </c>
      <c r="I365">
        <v>39</v>
      </c>
      <c r="J365">
        <v>117</v>
      </c>
    </row>
    <row r="366" spans="1:10" x14ac:dyDescent="0.3">
      <c r="A366">
        <v>365</v>
      </c>
      <c r="B366" s="1">
        <v>45291</v>
      </c>
      <c r="C366" t="s">
        <v>384</v>
      </c>
      <c r="D366" t="s">
        <v>4</v>
      </c>
      <c r="E366" t="s">
        <v>19</v>
      </c>
      <c r="F366">
        <v>43</v>
      </c>
      <c r="G366" t="s">
        <v>20</v>
      </c>
      <c r="H366">
        <v>2</v>
      </c>
      <c r="I366">
        <v>157</v>
      </c>
      <c r="J366">
        <v>314</v>
      </c>
    </row>
    <row r="367" spans="1:10" x14ac:dyDescent="0.3">
      <c r="A367">
        <v>366</v>
      </c>
      <c r="B367" s="1">
        <v>45292</v>
      </c>
      <c r="C367" t="s">
        <v>385</v>
      </c>
      <c r="D367" t="s">
        <v>3</v>
      </c>
      <c r="E367" t="s">
        <v>19</v>
      </c>
      <c r="F367">
        <v>35</v>
      </c>
      <c r="G367" t="s">
        <v>17</v>
      </c>
      <c r="H367">
        <v>4</v>
      </c>
      <c r="I367">
        <v>284</v>
      </c>
      <c r="J367">
        <v>1136</v>
      </c>
    </row>
    <row r="368" spans="1:10" x14ac:dyDescent="0.3">
      <c r="A368">
        <v>367</v>
      </c>
      <c r="B368" s="1">
        <v>45293</v>
      </c>
      <c r="C368" t="s">
        <v>386</v>
      </c>
      <c r="D368" t="s">
        <v>3</v>
      </c>
      <c r="E368" t="s">
        <v>19</v>
      </c>
      <c r="F368">
        <v>28</v>
      </c>
      <c r="G368" t="s">
        <v>20</v>
      </c>
      <c r="H368">
        <v>5</v>
      </c>
      <c r="I368">
        <v>443</v>
      </c>
      <c r="J368">
        <v>2215</v>
      </c>
    </row>
    <row r="369" spans="1:10" x14ac:dyDescent="0.3">
      <c r="A369">
        <v>368</v>
      </c>
      <c r="B369" s="1">
        <v>45294</v>
      </c>
      <c r="C369" t="s">
        <v>387</v>
      </c>
      <c r="D369" t="s">
        <v>3</v>
      </c>
      <c r="E369" t="s">
        <v>14</v>
      </c>
      <c r="F369">
        <v>52</v>
      </c>
      <c r="G369" t="s">
        <v>20</v>
      </c>
      <c r="H369">
        <v>3</v>
      </c>
      <c r="I369">
        <v>29</v>
      </c>
      <c r="J369">
        <v>87</v>
      </c>
    </row>
    <row r="370" spans="1:10" x14ac:dyDescent="0.3">
      <c r="A370">
        <v>369</v>
      </c>
      <c r="B370" s="1">
        <v>45295</v>
      </c>
      <c r="C370" t="s">
        <v>388</v>
      </c>
      <c r="D370" t="s">
        <v>4</v>
      </c>
      <c r="E370" t="s">
        <v>19</v>
      </c>
      <c r="F370">
        <v>56</v>
      </c>
      <c r="G370" t="s">
        <v>23</v>
      </c>
      <c r="H370">
        <v>1</v>
      </c>
      <c r="I370">
        <v>262</v>
      </c>
      <c r="J370">
        <v>262</v>
      </c>
    </row>
    <row r="371" spans="1:10" x14ac:dyDescent="0.3">
      <c r="A371">
        <v>370</v>
      </c>
      <c r="B371" s="1">
        <v>45296</v>
      </c>
      <c r="C371" t="s">
        <v>389</v>
      </c>
      <c r="D371" t="s">
        <v>1</v>
      </c>
      <c r="E371" t="s">
        <v>14</v>
      </c>
      <c r="F371">
        <v>43</v>
      </c>
      <c r="G371" t="s">
        <v>15</v>
      </c>
      <c r="H371">
        <v>5</v>
      </c>
      <c r="I371">
        <v>162</v>
      </c>
      <c r="J371">
        <v>810</v>
      </c>
    </row>
    <row r="372" spans="1:10" x14ac:dyDescent="0.3">
      <c r="A372">
        <v>371</v>
      </c>
      <c r="B372" s="1">
        <v>45297</v>
      </c>
      <c r="C372" t="s">
        <v>390</v>
      </c>
      <c r="D372" t="s">
        <v>3</v>
      </c>
      <c r="E372" t="s">
        <v>14</v>
      </c>
      <c r="F372">
        <v>54</v>
      </c>
      <c r="G372" t="s">
        <v>15</v>
      </c>
      <c r="H372">
        <v>3</v>
      </c>
      <c r="I372">
        <v>32</v>
      </c>
      <c r="J372">
        <v>96</v>
      </c>
    </row>
    <row r="373" spans="1:10" x14ac:dyDescent="0.3">
      <c r="A373">
        <v>372</v>
      </c>
      <c r="B373" s="1">
        <v>45298</v>
      </c>
      <c r="C373" t="s">
        <v>391</v>
      </c>
      <c r="D373" t="s">
        <v>4</v>
      </c>
      <c r="E373" t="s">
        <v>14</v>
      </c>
      <c r="F373">
        <v>46</v>
      </c>
      <c r="G373" t="s">
        <v>27</v>
      </c>
      <c r="H373">
        <v>2</v>
      </c>
      <c r="I373">
        <v>259</v>
      </c>
      <c r="J373">
        <v>518</v>
      </c>
    </row>
    <row r="374" spans="1:10" x14ac:dyDescent="0.3">
      <c r="A374">
        <v>373</v>
      </c>
      <c r="B374" s="1">
        <v>45299</v>
      </c>
      <c r="C374" t="s">
        <v>392</v>
      </c>
      <c r="D374" t="s">
        <v>2</v>
      </c>
      <c r="E374" t="s">
        <v>19</v>
      </c>
      <c r="F374">
        <v>42</v>
      </c>
      <c r="G374" t="s">
        <v>23</v>
      </c>
      <c r="H374">
        <v>3</v>
      </c>
      <c r="I374">
        <v>431</v>
      </c>
      <c r="J374">
        <v>1293</v>
      </c>
    </row>
    <row r="375" spans="1:10" x14ac:dyDescent="0.3">
      <c r="A375">
        <v>374</v>
      </c>
      <c r="B375" s="1">
        <v>45300</v>
      </c>
      <c r="C375" t="s">
        <v>393</v>
      </c>
      <c r="D375" t="s">
        <v>3</v>
      </c>
      <c r="E375" t="s">
        <v>14</v>
      </c>
      <c r="F375">
        <v>53</v>
      </c>
      <c r="G375" t="s">
        <v>15</v>
      </c>
      <c r="H375">
        <v>5</v>
      </c>
      <c r="I375">
        <v>366</v>
      </c>
      <c r="J375">
        <v>1830</v>
      </c>
    </row>
    <row r="376" spans="1:10" x14ac:dyDescent="0.3">
      <c r="A376">
        <v>375</v>
      </c>
      <c r="B376" s="1">
        <v>45301</v>
      </c>
      <c r="C376" t="s">
        <v>394</v>
      </c>
      <c r="D376" t="s">
        <v>3</v>
      </c>
      <c r="E376" t="s">
        <v>19</v>
      </c>
      <c r="F376">
        <v>60</v>
      </c>
      <c r="G376" t="s">
        <v>23</v>
      </c>
      <c r="H376">
        <v>3</v>
      </c>
      <c r="I376">
        <v>299</v>
      </c>
      <c r="J376">
        <v>897</v>
      </c>
    </row>
    <row r="377" spans="1:10" x14ac:dyDescent="0.3">
      <c r="A377">
        <v>376</v>
      </c>
      <c r="B377" s="1">
        <v>45302</v>
      </c>
      <c r="C377" t="s">
        <v>395</v>
      </c>
      <c r="D377" t="s">
        <v>1</v>
      </c>
      <c r="E377" t="s">
        <v>19</v>
      </c>
      <c r="F377">
        <v>19</v>
      </c>
      <c r="G377" t="s">
        <v>23</v>
      </c>
      <c r="H377">
        <v>2</v>
      </c>
      <c r="I377">
        <v>310</v>
      </c>
      <c r="J377">
        <v>620</v>
      </c>
    </row>
    <row r="378" spans="1:10" x14ac:dyDescent="0.3">
      <c r="A378">
        <v>377</v>
      </c>
      <c r="B378" s="1">
        <v>45303</v>
      </c>
      <c r="C378" t="s">
        <v>396</v>
      </c>
      <c r="D378" t="s">
        <v>3</v>
      </c>
      <c r="E378" t="s">
        <v>14</v>
      </c>
      <c r="F378">
        <v>45</v>
      </c>
      <c r="G378" t="s">
        <v>27</v>
      </c>
      <c r="H378">
        <v>1</v>
      </c>
      <c r="I378">
        <v>291</v>
      </c>
      <c r="J378">
        <v>291</v>
      </c>
    </row>
    <row r="379" spans="1:10" x14ac:dyDescent="0.3">
      <c r="A379">
        <v>378</v>
      </c>
      <c r="B379" s="1">
        <v>45304</v>
      </c>
      <c r="C379" t="s">
        <v>397</v>
      </c>
      <c r="D379" t="s">
        <v>3</v>
      </c>
      <c r="E379" t="s">
        <v>19</v>
      </c>
      <c r="F379">
        <v>49</v>
      </c>
      <c r="G379" t="s">
        <v>20</v>
      </c>
      <c r="H379">
        <v>4</v>
      </c>
      <c r="I379">
        <v>277</v>
      </c>
      <c r="J379">
        <v>1108</v>
      </c>
    </row>
    <row r="380" spans="1:10" x14ac:dyDescent="0.3">
      <c r="A380">
        <v>379</v>
      </c>
      <c r="B380" s="1">
        <v>45305</v>
      </c>
      <c r="C380" t="s">
        <v>398</v>
      </c>
      <c r="D380" t="s">
        <v>2</v>
      </c>
      <c r="E380" t="s">
        <v>19</v>
      </c>
      <c r="F380">
        <v>55</v>
      </c>
      <c r="G380" t="s">
        <v>15</v>
      </c>
      <c r="H380">
        <v>5</v>
      </c>
      <c r="I380">
        <v>166</v>
      </c>
      <c r="J380">
        <v>830</v>
      </c>
    </row>
    <row r="381" spans="1:10" x14ac:dyDescent="0.3">
      <c r="A381">
        <v>380</v>
      </c>
      <c r="B381" s="1">
        <v>45306</v>
      </c>
      <c r="C381" t="s">
        <v>399</v>
      </c>
      <c r="D381" t="s">
        <v>4</v>
      </c>
      <c r="E381" t="s">
        <v>19</v>
      </c>
      <c r="F381">
        <v>48</v>
      </c>
      <c r="G381" t="s">
        <v>27</v>
      </c>
      <c r="H381">
        <v>2</v>
      </c>
      <c r="I381">
        <v>74</v>
      </c>
      <c r="J381">
        <v>148</v>
      </c>
    </row>
    <row r="382" spans="1:10" x14ac:dyDescent="0.3">
      <c r="A382">
        <v>381</v>
      </c>
      <c r="B382" s="1">
        <v>45307</v>
      </c>
      <c r="C382" t="s">
        <v>400</v>
      </c>
      <c r="D382" t="s">
        <v>4</v>
      </c>
      <c r="E382" t="s">
        <v>14</v>
      </c>
      <c r="F382">
        <v>18</v>
      </c>
      <c r="G382" t="s">
        <v>27</v>
      </c>
      <c r="H382">
        <v>4</v>
      </c>
      <c r="I382">
        <v>60</v>
      </c>
      <c r="J382">
        <v>240</v>
      </c>
    </row>
    <row r="383" spans="1:10" x14ac:dyDescent="0.3">
      <c r="A383">
        <v>382</v>
      </c>
      <c r="B383" s="1">
        <v>45308</v>
      </c>
      <c r="C383" t="s">
        <v>401</v>
      </c>
      <c r="D383" t="s">
        <v>1</v>
      </c>
      <c r="E383" t="s">
        <v>14</v>
      </c>
      <c r="F383">
        <v>30</v>
      </c>
      <c r="G383" t="s">
        <v>17</v>
      </c>
      <c r="H383">
        <v>5</v>
      </c>
      <c r="I383">
        <v>387</v>
      </c>
      <c r="J383">
        <v>1935</v>
      </c>
    </row>
    <row r="384" spans="1:10" x14ac:dyDescent="0.3">
      <c r="A384">
        <v>383</v>
      </c>
      <c r="B384" s="1">
        <v>45309</v>
      </c>
      <c r="C384" t="s">
        <v>402</v>
      </c>
      <c r="D384" t="s">
        <v>2</v>
      </c>
      <c r="E384" t="s">
        <v>14</v>
      </c>
      <c r="F384">
        <v>48</v>
      </c>
      <c r="G384" t="s">
        <v>23</v>
      </c>
      <c r="H384">
        <v>1</v>
      </c>
      <c r="I384">
        <v>25</v>
      </c>
      <c r="J384">
        <v>25</v>
      </c>
    </row>
    <row r="385" spans="1:10" x14ac:dyDescent="0.3">
      <c r="A385">
        <v>384</v>
      </c>
      <c r="B385" s="1">
        <v>45310</v>
      </c>
      <c r="C385" t="s">
        <v>403</v>
      </c>
      <c r="D385" t="s">
        <v>4</v>
      </c>
      <c r="E385" t="s">
        <v>19</v>
      </c>
      <c r="F385">
        <v>27</v>
      </c>
      <c r="G385" t="s">
        <v>17</v>
      </c>
      <c r="H385">
        <v>3</v>
      </c>
      <c r="I385">
        <v>73</v>
      </c>
      <c r="J385">
        <v>219</v>
      </c>
    </row>
    <row r="386" spans="1:10" x14ac:dyDescent="0.3">
      <c r="A386">
        <v>385</v>
      </c>
      <c r="B386" s="1">
        <v>45311</v>
      </c>
      <c r="C386" t="s">
        <v>404</v>
      </c>
      <c r="D386" t="s">
        <v>2</v>
      </c>
      <c r="E386" t="s">
        <v>19</v>
      </c>
      <c r="F386">
        <v>33</v>
      </c>
      <c r="G386" t="s">
        <v>20</v>
      </c>
      <c r="H386">
        <v>5</v>
      </c>
      <c r="I386">
        <v>467</v>
      </c>
      <c r="J386">
        <v>2335</v>
      </c>
    </row>
    <row r="387" spans="1:10" x14ac:dyDescent="0.3">
      <c r="A387">
        <v>386</v>
      </c>
      <c r="B387" s="1">
        <v>45312</v>
      </c>
      <c r="C387" t="s">
        <v>405</v>
      </c>
      <c r="D387" t="s">
        <v>4</v>
      </c>
      <c r="E387" t="s">
        <v>14</v>
      </c>
      <c r="F387">
        <v>21</v>
      </c>
      <c r="G387" t="s">
        <v>17</v>
      </c>
      <c r="H387">
        <v>1</v>
      </c>
      <c r="I387">
        <v>286</v>
      </c>
      <c r="J387">
        <v>286</v>
      </c>
    </row>
    <row r="388" spans="1:10" x14ac:dyDescent="0.3">
      <c r="A388">
        <v>387</v>
      </c>
      <c r="B388" s="1">
        <v>45313</v>
      </c>
      <c r="C388" t="s">
        <v>406</v>
      </c>
      <c r="D388" t="s">
        <v>2</v>
      </c>
      <c r="E388" t="s">
        <v>19</v>
      </c>
      <c r="F388">
        <v>42</v>
      </c>
      <c r="G388" t="s">
        <v>27</v>
      </c>
      <c r="H388">
        <v>2</v>
      </c>
      <c r="I388">
        <v>443</v>
      </c>
      <c r="J388">
        <v>886</v>
      </c>
    </row>
    <row r="389" spans="1:10" x14ac:dyDescent="0.3">
      <c r="A389">
        <v>388</v>
      </c>
      <c r="B389" s="1">
        <v>45314</v>
      </c>
      <c r="C389" t="s">
        <v>407</v>
      </c>
      <c r="D389" t="s">
        <v>1</v>
      </c>
      <c r="E389" t="s">
        <v>19</v>
      </c>
      <c r="F389">
        <v>54</v>
      </c>
      <c r="G389" t="s">
        <v>23</v>
      </c>
      <c r="H389">
        <v>1</v>
      </c>
      <c r="I389">
        <v>48</v>
      </c>
      <c r="J389">
        <v>48</v>
      </c>
    </row>
    <row r="390" spans="1:10" x14ac:dyDescent="0.3">
      <c r="A390">
        <v>389</v>
      </c>
      <c r="B390" s="1">
        <v>45315</v>
      </c>
      <c r="C390" t="s">
        <v>408</v>
      </c>
      <c r="D390" t="s">
        <v>3</v>
      </c>
      <c r="E390" t="s">
        <v>14</v>
      </c>
      <c r="F390">
        <v>38</v>
      </c>
      <c r="G390" t="s">
        <v>15</v>
      </c>
      <c r="H390">
        <v>5</v>
      </c>
      <c r="I390">
        <v>397</v>
      </c>
      <c r="J390">
        <v>1985</v>
      </c>
    </row>
    <row r="391" spans="1:10" x14ac:dyDescent="0.3">
      <c r="A391">
        <v>390</v>
      </c>
      <c r="B391" s="1">
        <v>45316</v>
      </c>
      <c r="C391" t="s">
        <v>409</v>
      </c>
      <c r="D391" t="s">
        <v>1</v>
      </c>
      <c r="E391" t="s">
        <v>19</v>
      </c>
      <c r="F391">
        <v>22</v>
      </c>
      <c r="G391" t="s">
        <v>15</v>
      </c>
      <c r="H391">
        <v>2</v>
      </c>
      <c r="I391">
        <v>118</v>
      </c>
      <c r="J391">
        <v>236</v>
      </c>
    </row>
    <row r="392" spans="1:10" x14ac:dyDescent="0.3">
      <c r="A392">
        <v>391</v>
      </c>
      <c r="B392" s="1">
        <v>45317</v>
      </c>
      <c r="C392" t="s">
        <v>410</v>
      </c>
      <c r="D392" t="s">
        <v>4</v>
      </c>
      <c r="E392" t="s">
        <v>19</v>
      </c>
      <c r="F392">
        <v>18</v>
      </c>
      <c r="G392" t="s">
        <v>20</v>
      </c>
      <c r="H392">
        <v>2</v>
      </c>
      <c r="I392">
        <v>105</v>
      </c>
      <c r="J392">
        <v>210</v>
      </c>
    </row>
    <row r="393" spans="1:10" x14ac:dyDescent="0.3">
      <c r="A393">
        <v>392</v>
      </c>
      <c r="B393" s="1">
        <v>45318</v>
      </c>
      <c r="C393" t="s">
        <v>411</v>
      </c>
      <c r="D393" t="s">
        <v>1</v>
      </c>
      <c r="E393" t="s">
        <v>19</v>
      </c>
      <c r="F393">
        <v>50</v>
      </c>
      <c r="G393" t="s">
        <v>20</v>
      </c>
      <c r="H393">
        <v>5</v>
      </c>
      <c r="I393">
        <v>417</v>
      </c>
      <c r="J393">
        <v>2085</v>
      </c>
    </row>
    <row r="394" spans="1:10" x14ac:dyDescent="0.3">
      <c r="A394">
        <v>393</v>
      </c>
      <c r="B394" s="1">
        <v>45319</v>
      </c>
      <c r="C394" t="s">
        <v>412</v>
      </c>
      <c r="D394" t="s">
        <v>3</v>
      </c>
      <c r="E394" t="s">
        <v>19</v>
      </c>
      <c r="F394">
        <v>30</v>
      </c>
      <c r="G394" t="s">
        <v>17</v>
      </c>
      <c r="H394">
        <v>3</v>
      </c>
      <c r="I394">
        <v>292</v>
      </c>
      <c r="J394">
        <v>876</v>
      </c>
    </row>
    <row r="395" spans="1:10" x14ac:dyDescent="0.3">
      <c r="A395">
        <v>394</v>
      </c>
      <c r="B395" s="1">
        <v>45320</v>
      </c>
      <c r="C395" t="s">
        <v>413</v>
      </c>
      <c r="D395" t="s">
        <v>1</v>
      </c>
      <c r="E395" t="s">
        <v>14</v>
      </c>
      <c r="F395">
        <v>22</v>
      </c>
      <c r="G395" t="s">
        <v>17</v>
      </c>
      <c r="H395">
        <v>2</v>
      </c>
      <c r="I395">
        <v>158</v>
      </c>
      <c r="J395">
        <v>316</v>
      </c>
    </row>
    <row r="396" spans="1:10" x14ac:dyDescent="0.3">
      <c r="A396">
        <v>395</v>
      </c>
      <c r="B396" s="1">
        <v>45321</v>
      </c>
      <c r="C396" t="s">
        <v>414</v>
      </c>
      <c r="D396" t="s">
        <v>4</v>
      </c>
      <c r="E396" t="s">
        <v>19</v>
      </c>
      <c r="F396">
        <v>52</v>
      </c>
      <c r="G396" t="s">
        <v>17</v>
      </c>
      <c r="H396">
        <v>2</v>
      </c>
      <c r="I396">
        <v>88</v>
      </c>
      <c r="J396">
        <v>176</v>
      </c>
    </row>
    <row r="397" spans="1:10" x14ac:dyDescent="0.3">
      <c r="A397">
        <v>396</v>
      </c>
      <c r="B397" s="1">
        <v>45322</v>
      </c>
      <c r="C397" t="s">
        <v>415</v>
      </c>
      <c r="D397" t="s">
        <v>4</v>
      </c>
      <c r="E397" t="s">
        <v>19</v>
      </c>
      <c r="F397">
        <v>41</v>
      </c>
      <c r="G397" t="s">
        <v>23</v>
      </c>
      <c r="H397">
        <v>2</v>
      </c>
      <c r="I397">
        <v>178</v>
      </c>
      <c r="J397">
        <v>356</v>
      </c>
    </row>
    <row r="398" spans="1:10" x14ac:dyDescent="0.3">
      <c r="A398">
        <v>397</v>
      </c>
      <c r="B398" s="1">
        <v>45323</v>
      </c>
      <c r="C398" t="s">
        <v>416</v>
      </c>
      <c r="D398" t="s">
        <v>1</v>
      </c>
      <c r="E398" t="s">
        <v>19</v>
      </c>
      <c r="F398">
        <v>34</v>
      </c>
      <c r="G398" t="s">
        <v>23</v>
      </c>
      <c r="H398">
        <v>5</v>
      </c>
      <c r="I398">
        <v>449</v>
      </c>
      <c r="J398">
        <v>2245</v>
      </c>
    </row>
    <row r="399" spans="1:10" x14ac:dyDescent="0.3">
      <c r="A399">
        <v>398</v>
      </c>
      <c r="B399" s="1">
        <v>45324</v>
      </c>
      <c r="C399" t="s">
        <v>417</v>
      </c>
      <c r="D399" t="s">
        <v>3</v>
      </c>
      <c r="E399" t="s">
        <v>19</v>
      </c>
      <c r="F399">
        <v>58</v>
      </c>
      <c r="G399" t="s">
        <v>27</v>
      </c>
      <c r="H399">
        <v>3</v>
      </c>
      <c r="I399">
        <v>207</v>
      </c>
      <c r="J399">
        <v>621</v>
      </c>
    </row>
    <row r="400" spans="1:10" x14ac:dyDescent="0.3">
      <c r="A400">
        <v>399</v>
      </c>
      <c r="B400" s="1">
        <v>45325</v>
      </c>
      <c r="C400" t="s">
        <v>418</v>
      </c>
      <c r="D400" t="s">
        <v>1</v>
      </c>
      <c r="E400" t="s">
        <v>19</v>
      </c>
      <c r="F400">
        <v>28</v>
      </c>
      <c r="G400" t="s">
        <v>17</v>
      </c>
      <c r="H400">
        <v>3</v>
      </c>
      <c r="I400">
        <v>180</v>
      </c>
      <c r="J400">
        <v>540</v>
      </c>
    </row>
    <row r="401" spans="1:10" x14ac:dyDescent="0.3">
      <c r="A401">
        <v>400</v>
      </c>
      <c r="B401" s="1">
        <v>45326</v>
      </c>
      <c r="C401" t="s">
        <v>419</v>
      </c>
      <c r="D401" t="s">
        <v>3</v>
      </c>
      <c r="E401" t="s">
        <v>19</v>
      </c>
      <c r="F401">
        <v>19</v>
      </c>
      <c r="G401" t="s">
        <v>20</v>
      </c>
      <c r="H401">
        <v>4</v>
      </c>
      <c r="I401">
        <v>496</v>
      </c>
      <c r="J401">
        <v>1984</v>
      </c>
    </row>
    <row r="402" spans="1:10" x14ac:dyDescent="0.3">
      <c r="A402">
        <v>401</v>
      </c>
      <c r="B402" s="1">
        <v>45327</v>
      </c>
      <c r="C402" t="s">
        <v>420</v>
      </c>
      <c r="D402" t="s">
        <v>2</v>
      </c>
      <c r="E402" t="s">
        <v>14</v>
      </c>
      <c r="F402">
        <v>27</v>
      </c>
      <c r="G402" t="s">
        <v>23</v>
      </c>
      <c r="H402">
        <v>4</v>
      </c>
      <c r="I402">
        <v>308</v>
      </c>
      <c r="J402">
        <v>1232</v>
      </c>
    </row>
    <row r="403" spans="1:10" x14ac:dyDescent="0.3">
      <c r="A403">
        <v>402</v>
      </c>
      <c r="B403" s="1">
        <v>45328</v>
      </c>
      <c r="C403" t="s">
        <v>421</v>
      </c>
      <c r="D403" t="s">
        <v>3</v>
      </c>
      <c r="E403" t="s">
        <v>14</v>
      </c>
      <c r="F403">
        <v>50</v>
      </c>
      <c r="G403" t="s">
        <v>20</v>
      </c>
      <c r="H403">
        <v>4</v>
      </c>
      <c r="I403">
        <v>487</v>
      </c>
      <c r="J403">
        <v>1948</v>
      </c>
    </row>
    <row r="404" spans="1:10" x14ac:dyDescent="0.3">
      <c r="A404">
        <v>403</v>
      </c>
      <c r="B404" s="1">
        <v>45329</v>
      </c>
      <c r="C404" t="s">
        <v>422</v>
      </c>
      <c r="D404" t="s">
        <v>2</v>
      </c>
      <c r="E404" t="s">
        <v>19</v>
      </c>
      <c r="F404">
        <v>54</v>
      </c>
      <c r="G404" t="s">
        <v>15</v>
      </c>
      <c r="H404">
        <v>3</v>
      </c>
      <c r="I404">
        <v>445</v>
      </c>
      <c r="J404">
        <v>1335</v>
      </c>
    </row>
    <row r="405" spans="1:10" x14ac:dyDescent="0.3">
      <c r="A405">
        <v>404</v>
      </c>
      <c r="B405" s="1">
        <v>45330</v>
      </c>
      <c r="C405" t="s">
        <v>423</v>
      </c>
      <c r="D405" t="s">
        <v>1</v>
      </c>
      <c r="E405" t="s">
        <v>14</v>
      </c>
      <c r="F405">
        <v>24</v>
      </c>
      <c r="G405" t="s">
        <v>23</v>
      </c>
      <c r="H405">
        <v>5</v>
      </c>
      <c r="I405">
        <v>184</v>
      </c>
      <c r="J405">
        <v>920</v>
      </c>
    </row>
    <row r="406" spans="1:10" x14ac:dyDescent="0.3">
      <c r="A406">
        <v>405</v>
      </c>
      <c r="B406" s="1">
        <v>45331</v>
      </c>
      <c r="C406" t="s">
        <v>424</v>
      </c>
      <c r="D406" t="s">
        <v>3</v>
      </c>
      <c r="E406" t="s">
        <v>14</v>
      </c>
      <c r="F406">
        <v>21</v>
      </c>
      <c r="G406" t="s">
        <v>20</v>
      </c>
      <c r="H406">
        <v>3</v>
      </c>
      <c r="I406">
        <v>45</v>
      </c>
      <c r="J406">
        <v>135</v>
      </c>
    </row>
    <row r="407" spans="1:10" x14ac:dyDescent="0.3">
      <c r="A407">
        <v>406</v>
      </c>
      <c r="B407" s="1">
        <v>45332</v>
      </c>
      <c r="C407" t="s">
        <v>425</v>
      </c>
      <c r="D407" t="s">
        <v>2</v>
      </c>
      <c r="E407" t="s">
        <v>14</v>
      </c>
      <c r="F407">
        <v>34</v>
      </c>
      <c r="G407" t="s">
        <v>23</v>
      </c>
      <c r="H407">
        <v>1</v>
      </c>
      <c r="I407">
        <v>276</v>
      </c>
      <c r="J407">
        <v>276</v>
      </c>
    </row>
    <row r="408" spans="1:10" x14ac:dyDescent="0.3">
      <c r="A408">
        <v>407</v>
      </c>
      <c r="B408" s="1">
        <v>45333</v>
      </c>
      <c r="C408" t="s">
        <v>426</v>
      </c>
      <c r="D408" t="s">
        <v>2</v>
      </c>
      <c r="E408" t="s">
        <v>19</v>
      </c>
      <c r="F408">
        <v>28</v>
      </c>
      <c r="G408" t="s">
        <v>17</v>
      </c>
      <c r="H408">
        <v>1</v>
      </c>
      <c r="I408">
        <v>438</v>
      </c>
      <c r="J408">
        <v>438</v>
      </c>
    </row>
    <row r="409" spans="1:10" x14ac:dyDescent="0.3">
      <c r="A409">
        <v>408</v>
      </c>
      <c r="B409" s="1">
        <v>45334</v>
      </c>
      <c r="C409" t="s">
        <v>427</v>
      </c>
      <c r="D409" t="s">
        <v>2</v>
      </c>
      <c r="E409" t="s">
        <v>14</v>
      </c>
      <c r="F409">
        <v>49</v>
      </c>
      <c r="G409" t="s">
        <v>15</v>
      </c>
      <c r="H409">
        <v>3</v>
      </c>
      <c r="I409">
        <v>283</v>
      </c>
      <c r="J409">
        <v>849</v>
      </c>
    </row>
    <row r="410" spans="1:10" x14ac:dyDescent="0.3">
      <c r="A410">
        <v>409</v>
      </c>
      <c r="B410" s="1">
        <v>45335</v>
      </c>
      <c r="C410" t="s">
        <v>428</v>
      </c>
      <c r="D410" t="s">
        <v>4</v>
      </c>
      <c r="E410" t="s">
        <v>14</v>
      </c>
      <c r="F410">
        <v>38</v>
      </c>
      <c r="G410" t="s">
        <v>27</v>
      </c>
      <c r="H410">
        <v>5</v>
      </c>
      <c r="I410">
        <v>356</v>
      </c>
      <c r="J410">
        <v>1780</v>
      </c>
    </row>
    <row r="411" spans="1:10" x14ac:dyDescent="0.3">
      <c r="A411">
        <v>410</v>
      </c>
      <c r="B411" s="1">
        <v>45336</v>
      </c>
      <c r="C411" t="s">
        <v>429</v>
      </c>
      <c r="D411" t="s">
        <v>1</v>
      </c>
      <c r="E411" t="s">
        <v>14</v>
      </c>
      <c r="F411">
        <v>49</v>
      </c>
      <c r="G411" t="s">
        <v>17</v>
      </c>
      <c r="H411">
        <v>5</v>
      </c>
      <c r="I411">
        <v>499</v>
      </c>
      <c r="J411">
        <v>2495</v>
      </c>
    </row>
    <row r="412" spans="1:10" x14ac:dyDescent="0.3">
      <c r="A412">
        <v>411</v>
      </c>
      <c r="B412" s="1">
        <v>45337</v>
      </c>
      <c r="C412" t="s">
        <v>430</v>
      </c>
      <c r="D412" t="s">
        <v>2</v>
      </c>
      <c r="E412" t="s">
        <v>19</v>
      </c>
      <c r="F412">
        <v>48</v>
      </c>
      <c r="G412" t="s">
        <v>20</v>
      </c>
      <c r="H412">
        <v>2</v>
      </c>
      <c r="I412">
        <v>215</v>
      </c>
      <c r="J412">
        <v>430</v>
      </c>
    </row>
    <row r="413" spans="1:10" x14ac:dyDescent="0.3">
      <c r="A413">
        <v>412</v>
      </c>
      <c r="B413" s="1">
        <v>45338</v>
      </c>
      <c r="C413" t="s">
        <v>431</v>
      </c>
      <c r="D413" t="s">
        <v>3</v>
      </c>
      <c r="E413" t="s">
        <v>14</v>
      </c>
      <c r="F413">
        <v>60</v>
      </c>
      <c r="G413" t="s">
        <v>27</v>
      </c>
      <c r="H413">
        <v>2</v>
      </c>
      <c r="I413">
        <v>158</v>
      </c>
      <c r="J413">
        <v>316</v>
      </c>
    </row>
    <row r="414" spans="1:10" x14ac:dyDescent="0.3">
      <c r="A414">
        <v>413</v>
      </c>
      <c r="B414" s="1">
        <v>45339</v>
      </c>
      <c r="C414" t="s">
        <v>432</v>
      </c>
      <c r="D414" t="s">
        <v>2</v>
      </c>
      <c r="E414" t="s">
        <v>19</v>
      </c>
      <c r="F414">
        <v>28</v>
      </c>
      <c r="G414" t="s">
        <v>27</v>
      </c>
      <c r="H414">
        <v>4</v>
      </c>
      <c r="I414">
        <v>246</v>
      </c>
      <c r="J414">
        <v>984</v>
      </c>
    </row>
    <row r="415" spans="1:10" x14ac:dyDescent="0.3">
      <c r="A415">
        <v>414</v>
      </c>
      <c r="B415" s="1">
        <v>45340</v>
      </c>
      <c r="C415" t="s">
        <v>433</v>
      </c>
      <c r="D415" t="s">
        <v>4</v>
      </c>
      <c r="E415" t="s">
        <v>19</v>
      </c>
      <c r="F415">
        <v>40</v>
      </c>
      <c r="G415" t="s">
        <v>17</v>
      </c>
      <c r="H415">
        <v>2</v>
      </c>
      <c r="I415">
        <v>155</v>
      </c>
      <c r="J415">
        <v>310</v>
      </c>
    </row>
    <row r="416" spans="1:10" x14ac:dyDescent="0.3">
      <c r="A416">
        <v>415</v>
      </c>
      <c r="B416" s="1">
        <v>45341</v>
      </c>
      <c r="C416" t="s">
        <v>434</v>
      </c>
      <c r="D416" t="s">
        <v>1</v>
      </c>
      <c r="E416" t="s">
        <v>19</v>
      </c>
      <c r="F416">
        <v>19</v>
      </c>
      <c r="G416" t="s">
        <v>23</v>
      </c>
      <c r="H416">
        <v>1</v>
      </c>
      <c r="I416">
        <v>196</v>
      </c>
      <c r="J416">
        <v>196</v>
      </c>
    </row>
    <row r="417" spans="1:10" x14ac:dyDescent="0.3">
      <c r="A417">
        <v>416</v>
      </c>
      <c r="B417" s="1">
        <v>45342</v>
      </c>
      <c r="C417" t="s">
        <v>435</v>
      </c>
      <c r="D417" t="s">
        <v>4</v>
      </c>
      <c r="E417" t="s">
        <v>14</v>
      </c>
      <c r="F417">
        <v>55</v>
      </c>
      <c r="G417" t="s">
        <v>15</v>
      </c>
      <c r="H417">
        <v>2</v>
      </c>
      <c r="I417">
        <v>303</v>
      </c>
      <c r="J417">
        <v>606</v>
      </c>
    </row>
    <row r="418" spans="1:10" x14ac:dyDescent="0.3">
      <c r="A418">
        <v>417</v>
      </c>
      <c r="B418" s="1">
        <v>45343</v>
      </c>
      <c r="C418" t="s">
        <v>436</v>
      </c>
      <c r="D418" t="s">
        <v>4</v>
      </c>
      <c r="E418" t="s">
        <v>14</v>
      </c>
      <c r="F418">
        <v>43</v>
      </c>
      <c r="G418" t="s">
        <v>27</v>
      </c>
      <c r="H418">
        <v>5</v>
      </c>
      <c r="I418">
        <v>290</v>
      </c>
      <c r="J418">
        <v>1450</v>
      </c>
    </row>
    <row r="419" spans="1:10" x14ac:dyDescent="0.3">
      <c r="A419">
        <v>418</v>
      </c>
      <c r="B419" s="1">
        <v>45344</v>
      </c>
      <c r="C419" t="s">
        <v>437</v>
      </c>
      <c r="D419" t="s">
        <v>4</v>
      </c>
      <c r="E419" t="s">
        <v>19</v>
      </c>
      <c r="F419">
        <v>48</v>
      </c>
      <c r="G419" t="s">
        <v>15</v>
      </c>
      <c r="H419">
        <v>4</v>
      </c>
      <c r="I419">
        <v>322</v>
      </c>
      <c r="J419">
        <v>1288</v>
      </c>
    </row>
    <row r="420" spans="1:10" x14ac:dyDescent="0.3">
      <c r="A420">
        <v>419</v>
      </c>
      <c r="B420" s="1">
        <v>45345</v>
      </c>
      <c r="C420" t="s">
        <v>438</v>
      </c>
      <c r="D420" t="s">
        <v>3</v>
      </c>
      <c r="E420" t="s">
        <v>19</v>
      </c>
      <c r="F420">
        <v>43</v>
      </c>
      <c r="G420" t="s">
        <v>23</v>
      </c>
      <c r="H420">
        <v>4</v>
      </c>
      <c r="I420">
        <v>245</v>
      </c>
      <c r="J420">
        <v>980</v>
      </c>
    </row>
    <row r="421" spans="1:10" x14ac:dyDescent="0.3">
      <c r="A421">
        <v>420</v>
      </c>
      <c r="B421" s="1">
        <v>45346</v>
      </c>
      <c r="C421" t="s">
        <v>439</v>
      </c>
      <c r="D421" t="s">
        <v>1</v>
      </c>
      <c r="E421" t="s">
        <v>19</v>
      </c>
      <c r="F421">
        <v>31</v>
      </c>
      <c r="G421" t="s">
        <v>20</v>
      </c>
      <c r="H421">
        <v>2</v>
      </c>
      <c r="I421">
        <v>500</v>
      </c>
      <c r="J421">
        <v>1000</v>
      </c>
    </row>
    <row r="422" spans="1:10" x14ac:dyDescent="0.3">
      <c r="A422">
        <v>421</v>
      </c>
      <c r="B422" s="1">
        <v>45347</v>
      </c>
      <c r="C422" t="s">
        <v>440</v>
      </c>
      <c r="D422" t="s">
        <v>1</v>
      </c>
      <c r="E422" t="s">
        <v>19</v>
      </c>
      <c r="F422">
        <v>32</v>
      </c>
      <c r="G422" t="s">
        <v>17</v>
      </c>
      <c r="H422">
        <v>5</v>
      </c>
      <c r="I422">
        <v>212</v>
      </c>
      <c r="J422">
        <v>1060</v>
      </c>
    </row>
    <row r="423" spans="1:10" x14ac:dyDescent="0.3">
      <c r="A423">
        <v>422</v>
      </c>
      <c r="B423" s="1">
        <v>45348</v>
      </c>
      <c r="C423" t="s">
        <v>441</v>
      </c>
      <c r="D423" t="s">
        <v>3</v>
      </c>
      <c r="E423" t="s">
        <v>19</v>
      </c>
      <c r="F423">
        <v>35</v>
      </c>
      <c r="G423" t="s">
        <v>27</v>
      </c>
      <c r="H423">
        <v>4</v>
      </c>
      <c r="I423">
        <v>444</v>
      </c>
      <c r="J423">
        <v>1776</v>
      </c>
    </row>
    <row r="424" spans="1:10" x14ac:dyDescent="0.3">
      <c r="A424">
        <v>423</v>
      </c>
      <c r="B424" s="1">
        <v>45349</v>
      </c>
      <c r="C424" t="s">
        <v>442</v>
      </c>
      <c r="D424" t="s">
        <v>1</v>
      </c>
      <c r="E424" t="s">
        <v>14</v>
      </c>
      <c r="F424">
        <v>35</v>
      </c>
      <c r="G424" t="s">
        <v>20</v>
      </c>
      <c r="H424">
        <v>1</v>
      </c>
      <c r="I424">
        <v>400</v>
      </c>
      <c r="J424">
        <v>400</v>
      </c>
    </row>
    <row r="425" spans="1:10" x14ac:dyDescent="0.3">
      <c r="A425">
        <v>424</v>
      </c>
      <c r="B425" s="1">
        <v>45350</v>
      </c>
      <c r="C425" t="s">
        <v>443</v>
      </c>
      <c r="D425" t="s">
        <v>4</v>
      </c>
      <c r="E425" t="s">
        <v>14</v>
      </c>
      <c r="F425">
        <v>27</v>
      </c>
      <c r="G425" t="s">
        <v>20</v>
      </c>
      <c r="H425">
        <v>5</v>
      </c>
      <c r="I425">
        <v>240</v>
      </c>
      <c r="J425">
        <v>1200</v>
      </c>
    </row>
    <row r="426" spans="1:10" x14ac:dyDescent="0.3">
      <c r="A426">
        <v>425</v>
      </c>
      <c r="B426" s="1">
        <v>45351</v>
      </c>
      <c r="C426" t="s">
        <v>444</v>
      </c>
      <c r="D426" t="s">
        <v>1</v>
      </c>
      <c r="E426" t="s">
        <v>14</v>
      </c>
      <c r="F426">
        <v>22</v>
      </c>
      <c r="G426" t="s">
        <v>27</v>
      </c>
      <c r="H426">
        <v>4</v>
      </c>
      <c r="I426">
        <v>439</v>
      </c>
      <c r="J426">
        <v>1756</v>
      </c>
    </row>
    <row r="427" spans="1:10" x14ac:dyDescent="0.3">
      <c r="A427">
        <v>426</v>
      </c>
      <c r="B427" s="1">
        <v>45352</v>
      </c>
      <c r="C427" t="s">
        <v>445</v>
      </c>
      <c r="D427" t="s">
        <v>3</v>
      </c>
      <c r="E427" t="s">
        <v>19</v>
      </c>
      <c r="F427">
        <v>19</v>
      </c>
      <c r="G427" t="s">
        <v>23</v>
      </c>
      <c r="H427">
        <v>4</v>
      </c>
      <c r="I427">
        <v>122</v>
      </c>
      <c r="J427">
        <v>488</v>
      </c>
    </row>
    <row r="428" spans="1:10" x14ac:dyDescent="0.3">
      <c r="A428">
        <v>427</v>
      </c>
      <c r="B428" s="1">
        <v>45353</v>
      </c>
      <c r="C428" t="s">
        <v>446</v>
      </c>
      <c r="D428" t="s">
        <v>4</v>
      </c>
      <c r="E428" t="s">
        <v>19</v>
      </c>
      <c r="F428">
        <v>22</v>
      </c>
      <c r="G428" t="s">
        <v>17</v>
      </c>
      <c r="H428">
        <v>2</v>
      </c>
      <c r="I428">
        <v>407</v>
      </c>
      <c r="J428">
        <v>814</v>
      </c>
    </row>
    <row r="429" spans="1:10" x14ac:dyDescent="0.3">
      <c r="A429">
        <v>428</v>
      </c>
      <c r="B429" s="1">
        <v>45354</v>
      </c>
      <c r="C429" t="s">
        <v>447</v>
      </c>
      <c r="D429" t="s">
        <v>3</v>
      </c>
      <c r="E429" t="s">
        <v>14</v>
      </c>
      <c r="F429">
        <v>26</v>
      </c>
      <c r="G429" t="s">
        <v>15</v>
      </c>
      <c r="H429">
        <v>4</v>
      </c>
      <c r="I429">
        <v>325</v>
      </c>
      <c r="J429">
        <v>1300</v>
      </c>
    </row>
    <row r="430" spans="1:10" x14ac:dyDescent="0.3">
      <c r="A430">
        <v>429</v>
      </c>
      <c r="B430" s="1">
        <v>45355</v>
      </c>
      <c r="C430" t="s">
        <v>448</v>
      </c>
      <c r="D430" t="s">
        <v>2</v>
      </c>
      <c r="E430" t="s">
        <v>14</v>
      </c>
      <c r="F430">
        <v>44</v>
      </c>
      <c r="G430" t="s">
        <v>20</v>
      </c>
      <c r="H430">
        <v>1</v>
      </c>
      <c r="I430">
        <v>458</v>
      </c>
      <c r="J430">
        <v>458</v>
      </c>
    </row>
    <row r="431" spans="1:10" x14ac:dyDescent="0.3">
      <c r="A431">
        <v>430</v>
      </c>
      <c r="B431" s="1">
        <v>45356</v>
      </c>
      <c r="C431" t="s">
        <v>449</v>
      </c>
      <c r="D431" t="s">
        <v>4</v>
      </c>
      <c r="E431" t="s">
        <v>14</v>
      </c>
      <c r="F431">
        <v>29</v>
      </c>
      <c r="G431" t="s">
        <v>27</v>
      </c>
      <c r="H431">
        <v>3</v>
      </c>
      <c r="I431">
        <v>478</v>
      </c>
      <c r="J431">
        <v>1434</v>
      </c>
    </row>
    <row r="432" spans="1:10" x14ac:dyDescent="0.3">
      <c r="A432">
        <v>431</v>
      </c>
      <c r="B432" s="1">
        <v>45357</v>
      </c>
      <c r="C432" t="s">
        <v>450</v>
      </c>
      <c r="D432" t="s">
        <v>4</v>
      </c>
      <c r="E432" t="s">
        <v>19</v>
      </c>
      <c r="F432">
        <v>48</v>
      </c>
      <c r="G432" t="s">
        <v>23</v>
      </c>
      <c r="H432">
        <v>2</v>
      </c>
      <c r="I432">
        <v>155</v>
      </c>
      <c r="J432">
        <v>310</v>
      </c>
    </row>
    <row r="433" spans="1:10" x14ac:dyDescent="0.3">
      <c r="A433">
        <v>432</v>
      </c>
      <c r="B433" s="1">
        <v>45358</v>
      </c>
      <c r="C433" t="s">
        <v>451</v>
      </c>
      <c r="D433" t="s">
        <v>1</v>
      </c>
      <c r="E433" t="s">
        <v>19</v>
      </c>
      <c r="F433">
        <v>34</v>
      </c>
      <c r="G433" t="s">
        <v>15</v>
      </c>
      <c r="H433">
        <v>4</v>
      </c>
      <c r="I433">
        <v>203</v>
      </c>
      <c r="J433">
        <v>812</v>
      </c>
    </row>
    <row r="434" spans="1:10" x14ac:dyDescent="0.3">
      <c r="A434">
        <v>433</v>
      </c>
      <c r="B434" s="1">
        <v>45359</v>
      </c>
      <c r="C434" t="s">
        <v>452</v>
      </c>
      <c r="D434" t="s">
        <v>4</v>
      </c>
      <c r="E434" t="s">
        <v>19</v>
      </c>
      <c r="F434">
        <v>43</v>
      </c>
      <c r="G434" t="s">
        <v>17</v>
      </c>
      <c r="H434">
        <v>1</v>
      </c>
      <c r="I434">
        <v>371</v>
      </c>
      <c r="J434">
        <v>371</v>
      </c>
    </row>
    <row r="435" spans="1:10" x14ac:dyDescent="0.3">
      <c r="A435">
        <v>434</v>
      </c>
      <c r="B435" s="1">
        <v>45360</v>
      </c>
      <c r="C435" t="s">
        <v>453</v>
      </c>
      <c r="D435" t="s">
        <v>3</v>
      </c>
      <c r="E435" t="s">
        <v>14</v>
      </c>
      <c r="F435">
        <v>41</v>
      </c>
      <c r="G435" t="s">
        <v>15</v>
      </c>
      <c r="H435">
        <v>2</v>
      </c>
      <c r="I435">
        <v>132</v>
      </c>
      <c r="J435">
        <v>264</v>
      </c>
    </row>
    <row r="436" spans="1:10" x14ac:dyDescent="0.3">
      <c r="A436">
        <v>435</v>
      </c>
      <c r="B436" s="1">
        <v>45361</v>
      </c>
      <c r="C436" t="s">
        <v>454</v>
      </c>
      <c r="D436" t="s">
        <v>1</v>
      </c>
      <c r="E436" t="s">
        <v>14</v>
      </c>
      <c r="F436">
        <v>33</v>
      </c>
      <c r="G436" t="s">
        <v>27</v>
      </c>
      <c r="H436">
        <v>3</v>
      </c>
      <c r="I436">
        <v>474</v>
      </c>
      <c r="J436">
        <v>1422</v>
      </c>
    </row>
    <row r="437" spans="1:10" x14ac:dyDescent="0.3">
      <c r="A437">
        <v>436</v>
      </c>
      <c r="B437" s="1">
        <v>45362</v>
      </c>
      <c r="C437" t="s">
        <v>455</v>
      </c>
      <c r="D437" t="s">
        <v>2</v>
      </c>
      <c r="E437" t="s">
        <v>14</v>
      </c>
      <c r="F437">
        <v>46</v>
      </c>
      <c r="G437" t="s">
        <v>27</v>
      </c>
      <c r="H437">
        <v>4</v>
      </c>
      <c r="I437">
        <v>345</v>
      </c>
      <c r="J437">
        <v>1380</v>
      </c>
    </row>
    <row r="438" spans="1:10" x14ac:dyDescent="0.3">
      <c r="A438">
        <v>437</v>
      </c>
      <c r="B438" s="1">
        <v>45363</v>
      </c>
      <c r="C438" t="s">
        <v>456</v>
      </c>
      <c r="D438" t="s">
        <v>3</v>
      </c>
      <c r="E438" t="s">
        <v>14</v>
      </c>
      <c r="F438">
        <v>50</v>
      </c>
      <c r="G438" t="s">
        <v>27</v>
      </c>
      <c r="H438">
        <v>4</v>
      </c>
      <c r="I438">
        <v>368</v>
      </c>
      <c r="J438">
        <v>1472</v>
      </c>
    </row>
    <row r="439" spans="1:10" x14ac:dyDescent="0.3">
      <c r="A439">
        <v>438</v>
      </c>
      <c r="B439" s="1">
        <v>45364</v>
      </c>
      <c r="C439" t="s">
        <v>457</v>
      </c>
      <c r="D439" t="s">
        <v>2</v>
      </c>
      <c r="E439" t="s">
        <v>19</v>
      </c>
      <c r="F439">
        <v>25</v>
      </c>
      <c r="G439" t="s">
        <v>15</v>
      </c>
      <c r="H439">
        <v>5</v>
      </c>
      <c r="I439">
        <v>339</v>
      </c>
      <c r="J439">
        <v>1695</v>
      </c>
    </row>
    <row r="440" spans="1:10" x14ac:dyDescent="0.3">
      <c r="A440">
        <v>439</v>
      </c>
      <c r="B440" s="1">
        <v>45365</v>
      </c>
      <c r="C440" t="s">
        <v>458</v>
      </c>
      <c r="D440" t="s">
        <v>2</v>
      </c>
      <c r="E440" t="s">
        <v>19</v>
      </c>
      <c r="F440">
        <v>46</v>
      </c>
      <c r="G440" t="s">
        <v>27</v>
      </c>
      <c r="H440">
        <v>4</v>
      </c>
      <c r="I440">
        <v>251</v>
      </c>
      <c r="J440">
        <v>1004</v>
      </c>
    </row>
    <row r="441" spans="1:10" x14ac:dyDescent="0.3">
      <c r="A441">
        <v>440</v>
      </c>
      <c r="B441" s="1">
        <v>45366</v>
      </c>
      <c r="C441" t="s">
        <v>459</v>
      </c>
      <c r="D441" t="s">
        <v>2</v>
      </c>
      <c r="E441" t="s">
        <v>14</v>
      </c>
      <c r="F441">
        <v>30</v>
      </c>
      <c r="G441" t="s">
        <v>27</v>
      </c>
      <c r="H441">
        <v>2</v>
      </c>
      <c r="I441">
        <v>177</v>
      </c>
      <c r="J441">
        <v>354</v>
      </c>
    </row>
    <row r="442" spans="1:10" x14ac:dyDescent="0.3">
      <c r="A442">
        <v>441</v>
      </c>
      <c r="B442" s="1">
        <v>45367</v>
      </c>
      <c r="C442" t="s">
        <v>460</v>
      </c>
      <c r="D442" t="s">
        <v>4</v>
      </c>
      <c r="E442" t="s">
        <v>19</v>
      </c>
      <c r="F442">
        <v>39</v>
      </c>
      <c r="G442" t="s">
        <v>23</v>
      </c>
      <c r="H442">
        <v>5</v>
      </c>
      <c r="I442">
        <v>153</v>
      </c>
      <c r="J442">
        <v>765</v>
      </c>
    </row>
    <row r="443" spans="1:10" x14ac:dyDescent="0.3">
      <c r="A443">
        <v>442</v>
      </c>
      <c r="B443" s="1">
        <v>45368</v>
      </c>
      <c r="C443" t="s">
        <v>461</v>
      </c>
      <c r="D443" t="s">
        <v>3</v>
      </c>
      <c r="E443" t="s">
        <v>14</v>
      </c>
      <c r="F443">
        <v>30</v>
      </c>
      <c r="G443" t="s">
        <v>23</v>
      </c>
      <c r="H443">
        <v>4</v>
      </c>
      <c r="I443">
        <v>405</v>
      </c>
      <c r="J443">
        <v>1620</v>
      </c>
    </row>
    <row r="444" spans="1:10" x14ac:dyDescent="0.3">
      <c r="A444">
        <v>443</v>
      </c>
      <c r="B444" s="1">
        <v>45369</v>
      </c>
      <c r="C444" t="s">
        <v>462</v>
      </c>
      <c r="D444" t="s">
        <v>3</v>
      </c>
      <c r="E444" t="s">
        <v>14</v>
      </c>
      <c r="F444">
        <v>25</v>
      </c>
      <c r="G444" t="s">
        <v>27</v>
      </c>
      <c r="H444">
        <v>2</v>
      </c>
      <c r="I444">
        <v>448</v>
      </c>
      <c r="J444">
        <v>896</v>
      </c>
    </row>
    <row r="445" spans="1:10" x14ac:dyDescent="0.3">
      <c r="A445">
        <v>444</v>
      </c>
      <c r="B445" s="1">
        <v>45370</v>
      </c>
      <c r="C445" t="s">
        <v>463</v>
      </c>
      <c r="D445" t="s">
        <v>4</v>
      </c>
      <c r="E445" t="s">
        <v>19</v>
      </c>
      <c r="F445">
        <v>21</v>
      </c>
      <c r="G445" t="s">
        <v>15</v>
      </c>
      <c r="H445">
        <v>1</v>
      </c>
      <c r="I445">
        <v>471</v>
      </c>
      <c r="J445">
        <v>471</v>
      </c>
    </row>
    <row r="446" spans="1:10" x14ac:dyDescent="0.3">
      <c r="A446">
        <v>445</v>
      </c>
      <c r="B446" s="1">
        <v>45371</v>
      </c>
      <c r="C446" t="s">
        <v>464</v>
      </c>
      <c r="D446" t="s">
        <v>1</v>
      </c>
      <c r="E446" t="s">
        <v>14</v>
      </c>
      <c r="F446">
        <v>37</v>
      </c>
      <c r="G446" t="s">
        <v>23</v>
      </c>
      <c r="H446">
        <v>1</v>
      </c>
      <c r="I446">
        <v>351</v>
      </c>
      <c r="J446">
        <v>351</v>
      </c>
    </row>
    <row r="447" spans="1:10" x14ac:dyDescent="0.3">
      <c r="A447">
        <v>446</v>
      </c>
      <c r="B447" s="1">
        <v>45372</v>
      </c>
      <c r="C447" t="s">
        <v>465</v>
      </c>
      <c r="D447" t="s">
        <v>2</v>
      </c>
      <c r="E447" t="s">
        <v>14</v>
      </c>
      <c r="F447">
        <v>18</v>
      </c>
      <c r="G447" t="s">
        <v>23</v>
      </c>
      <c r="H447">
        <v>3</v>
      </c>
      <c r="I447">
        <v>487</v>
      </c>
      <c r="J447">
        <v>1461</v>
      </c>
    </row>
    <row r="448" spans="1:10" x14ac:dyDescent="0.3">
      <c r="A448">
        <v>447</v>
      </c>
      <c r="B448" s="1">
        <v>45373</v>
      </c>
      <c r="C448" t="s">
        <v>466</v>
      </c>
      <c r="D448" t="s">
        <v>3</v>
      </c>
      <c r="E448" t="s">
        <v>19</v>
      </c>
      <c r="F448">
        <v>28</v>
      </c>
      <c r="G448" t="s">
        <v>20</v>
      </c>
      <c r="H448">
        <v>5</v>
      </c>
      <c r="I448">
        <v>190</v>
      </c>
      <c r="J448">
        <v>950</v>
      </c>
    </row>
    <row r="449" spans="1:10" x14ac:dyDescent="0.3">
      <c r="A449">
        <v>448</v>
      </c>
      <c r="B449" s="1">
        <v>45374</v>
      </c>
      <c r="C449" t="s">
        <v>467</v>
      </c>
      <c r="D449" t="s">
        <v>4</v>
      </c>
      <c r="E449" t="s">
        <v>14</v>
      </c>
      <c r="F449">
        <v>56</v>
      </c>
      <c r="G449" t="s">
        <v>23</v>
      </c>
      <c r="H449">
        <v>5</v>
      </c>
      <c r="I449">
        <v>307</v>
      </c>
      <c r="J449">
        <v>1535</v>
      </c>
    </row>
    <row r="450" spans="1:10" x14ac:dyDescent="0.3">
      <c r="A450">
        <v>449</v>
      </c>
      <c r="B450" s="1">
        <v>45375</v>
      </c>
      <c r="C450" t="s">
        <v>468</v>
      </c>
      <c r="D450" t="s">
        <v>2</v>
      </c>
      <c r="E450" t="s">
        <v>14</v>
      </c>
      <c r="F450">
        <v>19</v>
      </c>
      <c r="G450" t="s">
        <v>20</v>
      </c>
      <c r="H450">
        <v>3</v>
      </c>
      <c r="I450">
        <v>284</v>
      </c>
      <c r="J450">
        <v>852</v>
      </c>
    </row>
    <row r="451" spans="1:10" x14ac:dyDescent="0.3">
      <c r="A451">
        <v>450</v>
      </c>
      <c r="B451" s="1">
        <v>45376</v>
      </c>
      <c r="C451" t="s">
        <v>469</v>
      </c>
      <c r="D451" t="s">
        <v>1</v>
      </c>
      <c r="E451" t="s">
        <v>14</v>
      </c>
      <c r="F451">
        <v>21</v>
      </c>
      <c r="G451" t="s">
        <v>20</v>
      </c>
      <c r="H451">
        <v>3</v>
      </c>
      <c r="I451">
        <v>163</v>
      </c>
      <c r="J451">
        <v>489</v>
      </c>
    </row>
    <row r="452" spans="1:10" x14ac:dyDescent="0.3">
      <c r="A452">
        <v>451</v>
      </c>
      <c r="B452" s="1">
        <v>45377</v>
      </c>
      <c r="C452" t="s">
        <v>470</v>
      </c>
      <c r="D452" t="s">
        <v>1</v>
      </c>
      <c r="E452" t="s">
        <v>19</v>
      </c>
      <c r="F452">
        <v>50</v>
      </c>
      <c r="G452" t="s">
        <v>15</v>
      </c>
      <c r="H452">
        <v>2</v>
      </c>
      <c r="I452">
        <v>281</v>
      </c>
      <c r="J452">
        <v>562</v>
      </c>
    </row>
    <row r="453" spans="1:10" x14ac:dyDescent="0.3">
      <c r="A453">
        <v>452</v>
      </c>
      <c r="B453" s="1">
        <v>45378</v>
      </c>
      <c r="C453" t="s">
        <v>471</v>
      </c>
      <c r="D453" t="s">
        <v>2</v>
      </c>
      <c r="E453" t="s">
        <v>14</v>
      </c>
      <c r="F453">
        <v>28</v>
      </c>
      <c r="G453" t="s">
        <v>27</v>
      </c>
      <c r="H453">
        <v>1</v>
      </c>
      <c r="I453">
        <v>57</v>
      </c>
      <c r="J453">
        <v>57</v>
      </c>
    </row>
    <row r="454" spans="1:10" x14ac:dyDescent="0.3">
      <c r="A454">
        <v>453</v>
      </c>
      <c r="B454" s="1">
        <v>45379</v>
      </c>
      <c r="C454" t="s">
        <v>472</v>
      </c>
      <c r="D454" t="s">
        <v>1</v>
      </c>
      <c r="E454" t="s">
        <v>19</v>
      </c>
      <c r="F454">
        <v>55</v>
      </c>
      <c r="G454" t="s">
        <v>27</v>
      </c>
      <c r="H454">
        <v>4</v>
      </c>
      <c r="I454">
        <v>65</v>
      </c>
      <c r="J454">
        <v>260</v>
      </c>
    </row>
    <row r="455" spans="1:10" x14ac:dyDescent="0.3">
      <c r="A455">
        <v>454</v>
      </c>
      <c r="B455" s="1">
        <v>45380</v>
      </c>
      <c r="C455" t="s">
        <v>473</v>
      </c>
      <c r="D455" t="s">
        <v>3</v>
      </c>
      <c r="E455" t="s">
        <v>14</v>
      </c>
      <c r="F455">
        <v>24</v>
      </c>
      <c r="G455" t="s">
        <v>23</v>
      </c>
      <c r="H455">
        <v>4</v>
      </c>
      <c r="I455">
        <v>93</v>
      </c>
      <c r="J455">
        <v>372</v>
      </c>
    </row>
    <row r="456" spans="1:10" x14ac:dyDescent="0.3">
      <c r="A456">
        <v>455</v>
      </c>
      <c r="B456" s="1">
        <v>45381</v>
      </c>
      <c r="C456" t="s">
        <v>474</v>
      </c>
      <c r="D456" t="s">
        <v>3</v>
      </c>
      <c r="E456" t="s">
        <v>14</v>
      </c>
      <c r="F456">
        <v>22</v>
      </c>
      <c r="G456" t="s">
        <v>20</v>
      </c>
      <c r="H456">
        <v>4</v>
      </c>
      <c r="I456">
        <v>95</v>
      </c>
      <c r="J456">
        <v>380</v>
      </c>
    </row>
    <row r="457" spans="1:10" x14ac:dyDescent="0.3">
      <c r="A457">
        <v>456</v>
      </c>
      <c r="B457" s="1">
        <v>45382</v>
      </c>
      <c r="C457" t="s">
        <v>475</v>
      </c>
      <c r="D457" t="s">
        <v>3</v>
      </c>
      <c r="E457" t="s">
        <v>19</v>
      </c>
      <c r="F457">
        <v>47</v>
      </c>
      <c r="G457" t="s">
        <v>17</v>
      </c>
      <c r="H457">
        <v>5</v>
      </c>
      <c r="I457">
        <v>282</v>
      </c>
      <c r="J457">
        <v>1410</v>
      </c>
    </row>
    <row r="458" spans="1:10" x14ac:dyDescent="0.3">
      <c r="A458">
        <v>457</v>
      </c>
      <c r="B458" s="1">
        <v>45383</v>
      </c>
      <c r="C458" t="s">
        <v>476</v>
      </c>
      <c r="D458" t="s">
        <v>1</v>
      </c>
      <c r="E458" t="s">
        <v>19</v>
      </c>
      <c r="F458">
        <v>23</v>
      </c>
      <c r="G458" t="s">
        <v>15</v>
      </c>
      <c r="H458">
        <v>4</v>
      </c>
      <c r="I458">
        <v>359</v>
      </c>
      <c r="J458">
        <v>1436</v>
      </c>
    </row>
    <row r="459" spans="1:10" x14ac:dyDescent="0.3">
      <c r="A459">
        <v>458</v>
      </c>
      <c r="B459" s="1">
        <v>45384</v>
      </c>
      <c r="C459" t="s">
        <v>477</v>
      </c>
      <c r="D459" t="s">
        <v>3</v>
      </c>
      <c r="E459" t="s">
        <v>19</v>
      </c>
      <c r="F459">
        <v>58</v>
      </c>
      <c r="G459" t="s">
        <v>17</v>
      </c>
      <c r="H459">
        <v>2</v>
      </c>
      <c r="I459">
        <v>306</v>
      </c>
      <c r="J459">
        <v>612</v>
      </c>
    </row>
    <row r="460" spans="1:10" x14ac:dyDescent="0.3">
      <c r="A460">
        <v>459</v>
      </c>
      <c r="B460" s="1">
        <v>45385</v>
      </c>
      <c r="C460" t="s">
        <v>478</v>
      </c>
      <c r="D460" t="s">
        <v>4</v>
      </c>
      <c r="E460" t="s">
        <v>14</v>
      </c>
      <c r="F460">
        <v>56</v>
      </c>
      <c r="G460" t="s">
        <v>17</v>
      </c>
      <c r="H460">
        <v>1</v>
      </c>
      <c r="I460">
        <v>227</v>
      </c>
      <c r="J460">
        <v>227</v>
      </c>
    </row>
    <row r="461" spans="1:10" x14ac:dyDescent="0.3">
      <c r="A461">
        <v>460</v>
      </c>
      <c r="B461" s="1">
        <v>45386</v>
      </c>
      <c r="C461" t="s">
        <v>479</v>
      </c>
      <c r="D461" t="s">
        <v>3</v>
      </c>
      <c r="E461" t="s">
        <v>14</v>
      </c>
      <c r="F461">
        <v>38</v>
      </c>
      <c r="G461" t="s">
        <v>15</v>
      </c>
      <c r="H461">
        <v>5</v>
      </c>
      <c r="I461">
        <v>244</v>
      </c>
      <c r="J461">
        <v>1220</v>
      </c>
    </row>
    <row r="462" spans="1:10" x14ac:dyDescent="0.3">
      <c r="A462">
        <v>461</v>
      </c>
      <c r="B462" s="1">
        <v>45387</v>
      </c>
      <c r="C462" t="s">
        <v>480</v>
      </c>
      <c r="D462" t="s">
        <v>3</v>
      </c>
      <c r="E462" t="s">
        <v>19</v>
      </c>
      <c r="F462">
        <v>56</v>
      </c>
      <c r="G462" t="s">
        <v>27</v>
      </c>
      <c r="H462">
        <v>1</v>
      </c>
      <c r="I462">
        <v>223</v>
      </c>
      <c r="J462">
        <v>223</v>
      </c>
    </row>
    <row r="463" spans="1:10" x14ac:dyDescent="0.3">
      <c r="A463">
        <v>462</v>
      </c>
      <c r="B463" s="1">
        <v>45388</v>
      </c>
      <c r="C463" t="s">
        <v>481</v>
      </c>
      <c r="D463" t="s">
        <v>1</v>
      </c>
      <c r="E463" t="s">
        <v>19</v>
      </c>
      <c r="F463">
        <v>44</v>
      </c>
      <c r="G463" t="s">
        <v>27</v>
      </c>
      <c r="H463">
        <v>2</v>
      </c>
      <c r="I463">
        <v>286</v>
      </c>
      <c r="J463">
        <v>572</v>
      </c>
    </row>
    <row r="464" spans="1:10" x14ac:dyDescent="0.3">
      <c r="A464">
        <v>463</v>
      </c>
      <c r="B464" s="1">
        <v>45389</v>
      </c>
      <c r="C464" t="s">
        <v>482</v>
      </c>
      <c r="D464" t="s">
        <v>3</v>
      </c>
      <c r="E464" t="s">
        <v>19</v>
      </c>
      <c r="F464">
        <v>20</v>
      </c>
      <c r="G464" t="s">
        <v>15</v>
      </c>
      <c r="H464">
        <v>5</v>
      </c>
      <c r="I464">
        <v>422</v>
      </c>
      <c r="J464">
        <v>2110</v>
      </c>
    </row>
    <row r="465" spans="1:10" x14ac:dyDescent="0.3">
      <c r="A465">
        <v>464</v>
      </c>
      <c r="B465" s="1">
        <v>45390</v>
      </c>
      <c r="C465" t="s">
        <v>483</v>
      </c>
      <c r="D465" t="s">
        <v>2</v>
      </c>
      <c r="E465" t="s">
        <v>14</v>
      </c>
      <c r="F465">
        <v>28</v>
      </c>
      <c r="G465" t="s">
        <v>27</v>
      </c>
      <c r="H465">
        <v>1</v>
      </c>
      <c r="I465">
        <v>227</v>
      </c>
      <c r="J465">
        <v>227</v>
      </c>
    </row>
    <row r="466" spans="1:10" x14ac:dyDescent="0.3">
      <c r="A466">
        <v>465</v>
      </c>
      <c r="B466" s="1">
        <v>45391</v>
      </c>
      <c r="C466" t="s">
        <v>484</v>
      </c>
      <c r="D466" t="s">
        <v>4</v>
      </c>
      <c r="E466" t="s">
        <v>19</v>
      </c>
      <c r="F466">
        <v>25</v>
      </c>
      <c r="G466" t="s">
        <v>15</v>
      </c>
      <c r="H466">
        <v>5</v>
      </c>
      <c r="I466">
        <v>315</v>
      </c>
      <c r="J466">
        <v>1575</v>
      </c>
    </row>
    <row r="467" spans="1:10" x14ac:dyDescent="0.3">
      <c r="A467">
        <v>466</v>
      </c>
      <c r="B467" s="1">
        <v>45392</v>
      </c>
      <c r="C467" t="s">
        <v>485</v>
      </c>
      <c r="D467" t="s">
        <v>1</v>
      </c>
      <c r="E467" t="s">
        <v>14</v>
      </c>
      <c r="F467">
        <v>46</v>
      </c>
      <c r="G467" t="s">
        <v>15</v>
      </c>
      <c r="H467">
        <v>5</v>
      </c>
      <c r="I467">
        <v>248</v>
      </c>
      <c r="J467">
        <v>1240</v>
      </c>
    </row>
    <row r="468" spans="1:10" x14ac:dyDescent="0.3">
      <c r="A468">
        <v>467</v>
      </c>
      <c r="B468" s="1">
        <v>45393</v>
      </c>
      <c r="C468" t="s">
        <v>486</v>
      </c>
      <c r="D468" t="s">
        <v>4</v>
      </c>
      <c r="E468" t="s">
        <v>14</v>
      </c>
      <c r="F468">
        <v>25</v>
      </c>
      <c r="G468" t="s">
        <v>23</v>
      </c>
      <c r="H468">
        <v>3</v>
      </c>
      <c r="I468">
        <v>422</v>
      </c>
      <c r="J468">
        <v>1266</v>
      </c>
    </row>
    <row r="469" spans="1:10" x14ac:dyDescent="0.3">
      <c r="A469">
        <v>468</v>
      </c>
      <c r="B469" s="1">
        <v>45394</v>
      </c>
      <c r="C469" t="s">
        <v>487</v>
      </c>
      <c r="D469" t="s">
        <v>2</v>
      </c>
      <c r="E469" t="s">
        <v>14</v>
      </c>
      <c r="F469">
        <v>60</v>
      </c>
      <c r="G469" t="s">
        <v>15</v>
      </c>
      <c r="H469">
        <v>1</v>
      </c>
      <c r="I469">
        <v>337</v>
      </c>
      <c r="J469">
        <v>337</v>
      </c>
    </row>
    <row r="470" spans="1:10" x14ac:dyDescent="0.3">
      <c r="A470">
        <v>469</v>
      </c>
      <c r="B470" s="1">
        <v>45395</v>
      </c>
      <c r="C470" t="s">
        <v>488</v>
      </c>
      <c r="D470" t="s">
        <v>1</v>
      </c>
      <c r="E470" t="s">
        <v>14</v>
      </c>
      <c r="F470">
        <v>60</v>
      </c>
      <c r="G470" t="s">
        <v>17</v>
      </c>
      <c r="H470">
        <v>2</v>
      </c>
      <c r="I470">
        <v>103</v>
      </c>
      <c r="J470">
        <v>206</v>
      </c>
    </row>
    <row r="471" spans="1:10" x14ac:dyDescent="0.3">
      <c r="A471">
        <v>470</v>
      </c>
      <c r="B471" s="1">
        <v>45396</v>
      </c>
      <c r="C471" t="s">
        <v>489</v>
      </c>
      <c r="D471" t="s">
        <v>1</v>
      </c>
      <c r="E471" t="s">
        <v>19</v>
      </c>
      <c r="F471">
        <v>20</v>
      </c>
      <c r="G471" t="s">
        <v>17</v>
      </c>
      <c r="H471">
        <v>3</v>
      </c>
      <c r="I471">
        <v>24</v>
      </c>
      <c r="J471">
        <v>72</v>
      </c>
    </row>
    <row r="472" spans="1:10" x14ac:dyDescent="0.3">
      <c r="A472">
        <v>471</v>
      </c>
      <c r="B472" s="1">
        <v>45397</v>
      </c>
      <c r="C472" t="s">
        <v>490</v>
      </c>
      <c r="D472" t="s">
        <v>3</v>
      </c>
      <c r="E472" t="s">
        <v>14</v>
      </c>
      <c r="F472">
        <v>29</v>
      </c>
      <c r="G472" t="s">
        <v>27</v>
      </c>
      <c r="H472">
        <v>4</v>
      </c>
      <c r="I472">
        <v>271</v>
      </c>
      <c r="J472">
        <v>1084</v>
      </c>
    </row>
    <row r="473" spans="1:10" x14ac:dyDescent="0.3">
      <c r="A473">
        <v>472</v>
      </c>
      <c r="B473" s="1">
        <v>45398</v>
      </c>
      <c r="C473" t="s">
        <v>491</v>
      </c>
      <c r="D473" t="s">
        <v>4</v>
      </c>
      <c r="E473" t="s">
        <v>14</v>
      </c>
      <c r="F473">
        <v>23</v>
      </c>
      <c r="G473" t="s">
        <v>23</v>
      </c>
      <c r="H473">
        <v>1</v>
      </c>
      <c r="I473">
        <v>101</v>
      </c>
      <c r="J473">
        <v>101</v>
      </c>
    </row>
    <row r="474" spans="1:10" x14ac:dyDescent="0.3">
      <c r="A474">
        <v>473</v>
      </c>
      <c r="B474" s="1">
        <v>45399</v>
      </c>
      <c r="C474" t="s">
        <v>492</v>
      </c>
      <c r="D474" t="s">
        <v>2</v>
      </c>
      <c r="E474" t="s">
        <v>19</v>
      </c>
      <c r="F474">
        <v>46</v>
      </c>
      <c r="G474" t="s">
        <v>27</v>
      </c>
      <c r="H474">
        <v>1</v>
      </c>
      <c r="I474">
        <v>396</v>
      </c>
      <c r="J474">
        <v>396</v>
      </c>
    </row>
    <row r="475" spans="1:10" x14ac:dyDescent="0.3">
      <c r="A475">
        <v>474</v>
      </c>
      <c r="B475" s="1">
        <v>45400</v>
      </c>
      <c r="C475" t="s">
        <v>493</v>
      </c>
      <c r="D475" t="s">
        <v>2</v>
      </c>
      <c r="E475" t="s">
        <v>14</v>
      </c>
      <c r="F475">
        <v>50</v>
      </c>
      <c r="G475" t="s">
        <v>27</v>
      </c>
      <c r="H475">
        <v>2</v>
      </c>
      <c r="I475">
        <v>102</v>
      </c>
      <c r="J475">
        <v>204</v>
      </c>
    </row>
    <row r="476" spans="1:10" x14ac:dyDescent="0.3">
      <c r="A476">
        <v>475</v>
      </c>
      <c r="B476" s="1">
        <v>45401</v>
      </c>
      <c r="C476" t="s">
        <v>494</v>
      </c>
      <c r="D476" t="s">
        <v>1</v>
      </c>
      <c r="E476" t="s">
        <v>14</v>
      </c>
      <c r="F476">
        <v>48</v>
      </c>
      <c r="G476" t="s">
        <v>17</v>
      </c>
      <c r="H476">
        <v>3</v>
      </c>
      <c r="I476">
        <v>139</v>
      </c>
      <c r="J476">
        <v>417</v>
      </c>
    </row>
    <row r="477" spans="1:10" x14ac:dyDescent="0.3">
      <c r="A477">
        <v>476</v>
      </c>
      <c r="B477" s="1">
        <v>45402</v>
      </c>
      <c r="C477" t="s">
        <v>495</v>
      </c>
      <c r="D477" t="s">
        <v>3</v>
      </c>
      <c r="E477" t="s">
        <v>14</v>
      </c>
      <c r="F477">
        <v>33</v>
      </c>
      <c r="G477" t="s">
        <v>23</v>
      </c>
      <c r="H477">
        <v>3</v>
      </c>
      <c r="I477">
        <v>52</v>
      </c>
      <c r="J477">
        <v>156</v>
      </c>
    </row>
    <row r="478" spans="1:10" x14ac:dyDescent="0.3">
      <c r="A478">
        <v>477</v>
      </c>
      <c r="B478" s="1">
        <v>45403</v>
      </c>
      <c r="C478" t="s">
        <v>496</v>
      </c>
      <c r="D478" t="s">
        <v>1</v>
      </c>
      <c r="E478" t="s">
        <v>19</v>
      </c>
      <c r="F478">
        <v>49</v>
      </c>
      <c r="G478" t="s">
        <v>15</v>
      </c>
      <c r="H478">
        <v>3</v>
      </c>
      <c r="I478">
        <v>178</v>
      </c>
      <c r="J478">
        <v>534</v>
      </c>
    </row>
    <row r="479" spans="1:10" x14ac:dyDescent="0.3">
      <c r="A479">
        <v>478</v>
      </c>
      <c r="B479" s="1">
        <v>45404</v>
      </c>
      <c r="C479" t="s">
        <v>497</v>
      </c>
      <c r="D479" t="s">
        <v>1</v>
      </c>
      <c r="E479" t="s">
        <v>14</v>
      </c>
      <c r="F479">
        <v>21</v>
      </c>
      <c r="G479" t="s">
        <v>23</v>
      </c>
      <c r="H479">
        <v>4</v>
      </c>
      <c r="I479">
        <v>407</v>
      </c>
      <c r="J479">
        <v>1628</v>
      </c>
    </row>
    <row r="480" spans="1:10" x14ac:dyDescent="0.3">
      <c r="A480">
        <v>479</v>
      </c>
      <c r="B480" s="1">
        <v>45405</v>
      </c>
      <c r="C480" t="s">
        <v>498</v>
      </c>
      <c r="D480" t="s">
        <v>1</v>
      </c>
      <c r="E480" t="s">
        <v>14</v>
      </c>
      <c r="F480">
        <v>26</v>
      </c>
      <c r="G480" t="s">
        <v>20</v>
      </c>
      <c r="H480">
        <v>1</v>
      </c>
      <c r="I480">
        <v>495</v>
      </c>
      <c r="J480">
        <v>495</v>
      </c>
    </row>
    <row r="481" spans="1:10" x14ac:dyDescent="0.3">
      <c r="A481">
        <v>480</v>
      </c>
      <c r="B481" s="1">
        <v>45406</v>
      </c>
      <c r="C481" t="s">
        <v>499</v>
      </c>
      <c r="D481" t="s">
        <v>1</v>
      </c>
      <c r="E481" t="s">
        <v>14</v>
      </c>
      <c r="F481">
        <v>32</v>
      </c>
      <c r="G481" t="s">
        <v>20</v>
      </c>
      <c r="H481">
        <v>1</v>
      </c>
      <c r="I481">
        <v>276</v>
      </c>
      <c r="J481">
        <v>276</v>
      </c>
    </row>
    <row r="482" spans="1:10" x14ac:dyDescent="0.3">
      <c r="A482">
        <v>481</v>
      </c>
      <c r="B482" s="1">
        <v>45407</v>
      </c>
      <c r="C482" t="s">
        <v>500</v>
      </c>
      <c r="D482" t="s">
        <v>2</v>
      </c>
      <c r="E482" t="s">
        <v>19</v>
      </c>
      <c r="F482">
        <v>25</v>
      </c>
      <c r="G482" t="s">
        <v>17</v>
      </c>
      <c r="H482">
        <v>5</v>
      </c>
      <c r="I482">
        <v>459</v>
      </c>
      <c r="J482">
        <v>2295</v>
      </c>
    </row>
    <row r="483" spans="1:10" x14ac:dyDescent="0.3">
      <c r="A483">
        <v>482</v>
      </c>
      <c r="B483" s="1">
        <v>45408</v>
      </c>
      <c r="C483" t="s">
        <v>501</v>
      </c>
      <c r="D483" t="s">
        <v>2</v>
      </c>
      <c r="E483" t="s">
        <v>19</v>
      </c>
      <c r="F483">
        <v>27</v>
      </c>
      <c r="G483" t="s">
        <v>20</v>
      </c>
      <c r="H483">
        <v>1</v>
      </c>
      <c r="I483">
        <v>183</v>
      </c>
      <c r="J483">
        <v>183</v>
      </c>
    </row>
    <row r="484" spans="1:10" x14ac:dyDescent="0.3">
      <c r="A484">
        <v>483</v>
      </c>
      <c r="B484" s="1">
        <v>45409</v>
      </c>
      <c r="C484" t="s">
        <v>502</v>
      </c>
      <c r="D484" t="s">
        <v>1</v>
      </c>
      <c r="E484" t="s">
        <v>19</v>
      </c>
      <c r="F484">
        <v>27</v>
      </c>
      <c r="G484" t="s">
        <v>17</v>
      </c>
      <c r="H484">
        <v>2</v>
      </c>
      <c r="I484">
        <v>38</v>
      </c>
      <c r="J484">
        <v>76</v>
      </c>
    </row>
    <row r="485" spans="1:10" x14ac:dyDescent="0.3">
      <c r="A485">
        <v>484</v>
      </c>
      <c r="B485" s="1">
        <v>45410</v>
      </c>
      <c r="C485" t="s">
        <v>503</v>
      </c>
      <c r="D485" t="s">
        <v>1</v>
      </c>
      <c r="E485" t="s">
        <v>14</v>
      </c>
      <c r="F485">
        <v>42</v>
      </c>
      <c r="G485" t="s">
        <v>27</v>
      </c>
      <c r="H485">
        <v>5</v>
      </c>
      <c r="I485">
        <v>463</v>
      </c>
      <c r="J485">
        <v>2315</v>
      </c>
    </row>
    <row r="486" spans="1:10" x14ac:dyDescent="0.3">
      <c r="A486">
        <v>485</v>
      </c>
      <c r="B486" s="1">
        <v>45411</v>
      </c>
      <c r="C486" t="s">
        <v>504</v>
      </c>
      <c r="D486" t="s">
        <v>3</v>
      </c>
      <c r="E486" t="s">
        <v>19</v>
      </c>
      <c r="F486">
        <v>38</v>
      </c>
      <c r="G486" t="s">
        <v>27</v>
      </c>
      <c r="H486">
        <v>1</v>
      </c>
      <c r="I486">
        <v>340</v>
      </c>
      <c r="J486">
        <v>340</v>
      </c>
    </row>
    <row r="487" spans="1:10" x14ac:dyDescent="0.3">
      <c r="A487">
        <v>486</v>
      </c>
      <c r="B487" s="1">
        <v>45412</v>
      </c>
      <c r="C487" t="s">
        <v>505</v>
      </c>
      <c r="D487" t="s">
        <v>1</v>
      </c>
      <c r="E487" t="s">
        <v>19</v>
      </c>
      <c r="F487">
        <v>46</v>
      </c>
      <c r="G487" t="s">
        <v>20</v>
      </c>
      <c r="H487">
        <v>4</v>
      </c>
      <c r="I487">
        <v>42</v>
      </c>
      <c r="J487">
        <v>168</v>
      </c>
    </row>
    <row r="488" spans="1:10" x14ac:dyDescent="0.3">
      <c r="A488">
        <v>487</v>
      </c>
      <c r="B488" s="1">
        <v>45413</v>
      </c>
      <c r="C488" t="s">
        <v>506</v>
      </c>
      <c r="D488" t="s">
        <v>2</v>
      </c>
      <c r="E488" t="s">
        <v>14</v>
      </c>
      <c r="F488">
        <v>35</v>
      </c>
      <c r="G488" t="s">
        <v>27</v>
      </c>
      <c r="H488">
        <v>1</v>
      </c>
      <c r="I488">
        <v>138</v>
      </c>
      <c r="J488">
        <v>138</v>
      </c>
    </row>
    <row r="489" spans="1:10" x14ac:dyDescent="0.3">
      <c r="A489">
        <v>488</v>
      </c>
      <c r="B489" s="1">
        <v>45414</v>
      </c>
      <c r="C489" t="s">
        <v>507</v>
      </c>
      <c r="D489" t="s">
        <v>4</v>
      </c>
      <c r="E489" t="s">
        <v>19</v>
      </c>
      <c r="F489">
        <v>35</v>
      </c>
      <c r="G489" t="s">
        <v>15</v>
      </c>
      <c r="H489">
        <v>4</v>
      </c>
      <c r="I489">
        <v>74</v>
      </c>
      <c r="J489">
        <v>296</v>
      </c>
    </row>
    <row r="490" spans="1:10" x14ac:dyDescent="0.3">
      <c r="A490">
        <v>489</v>
      </c>
      <c r="B490" s="1">
        <v>45415</v>
      </c>
      <c r="C490" t="s">
        <v>508</v>
      </c>
      <c r="D490" t="s">
        <v>2</v>
      </c>
      <c r="E490" t="s">
        <v>14</v>
      </c>
      <c r="F490">
        <v>19</v>
      </c>
      <c r="G490" t="s">
        <v>23</v>
      </c>
      <c r="H490">
        <v>2</v>
      </c>
      <c r="I490">
        <v>198</v>
      </c>
      <c r="J490">
        <v>396</v>
      </c>
    </row>
    <row r="491" spans="1:10" x14ac:dyDescent="0.3">
      <c r="A491">
        <v>490</v>
      </c>
      <c r="B491" s="1">
        <v>45416</v>
      </c>
      <c r="C491" t="s">
        <v>509</v>
      </c>
      <c r="D491" t="s">
        <v>3</v>
      </c>
      <c r="E491" t="s">
        <v>19</v>
      </c>
      <c r="F491">
        <v>49</v>
      </c>
      <c r="G491" t="s">
        <v>15</v>
      </c>
      <c r="H491">
        <v>5</v>
      </c>
      <c r="I491">
        <v>377</v>
      </c>
      <c r="J491">
        <v>1885</v>
      </c>
    </row>
    <row r="492" spans="1:10" x14ac:dyDescent="0.3">
      <c r="A492">
        <v>491</v>
      </c>
      <c r="B492" s="1">
        <v>45417</v>
      </c>
      <c r="C492" t="s">
        <v>510</v>
      </c>
      <c r="D492" t="s">
        <v>2</v>
      </c>
      <c r="E492" t="s">
        <v>19</v>
      </c>
      <c r="F492">
        <v>55</v>
      </c>
      <c r="G492" t="s">
        <v>17</v>
      </c>
      <c r="H492">
        <v>5</v>
      </c>
      <c r="I492">
        <v>442</v>
      </c>
      <c r="J492">
        <v>2210</v>
      </c>
    </row>
    <row r="493" spans="1:10" x14ac:dyDescent="0.3">
      <c r="A493">
        <v>492</v>
      </c>
      <c r="B493" s="1">
        <v>45418</v>
      </c>
      <c r="C493" t="s">
        <v>511</v>
      </c>
      <c r="D493" t="s">
        <v>4</v>
      </c>
      <c r="E493" t="s">
        <v>19</v>
      </c>
      <c r="F493">
        <v>38</v>
      </c>
      <c r="G493" t="s">
        <v>15</v>
      </c>
      <c r="H493">
        <v>5</v>
      </c>
      <c r="I493">
        <v>318</v>
      </c>
      <c r="J493">
        <v>1590</v>
      </c>
    </row>
    <row r="494" spans="1:10" x14ac:dyDescent="0.3">
      <c r="A494">
        <v>493</v>
      </c>
      <c r="B494" s="1">
        <v>45419</v>
      </c>
      <c r="C494" t="s">
        <v>512</v>
      </c>
      <c r="D494" t="s">
        <v>1</v>
      </c>
      <c r="E494" t="s">
        <v>19</v>
      </c>
      <c r="F494">
        <v>57</v>
      </c>
      <c r="G494" t="s">
        <v>27</v>
      </c>
      <c r="H494">
        <v>1</v>
      </c>
      <c r="I494">
        <v>20</v>
      </c>
      <c r="J494">
        <v>20</v>
      </c>
    </row>
    <row r="495" spans="1:10" x14ac:dyDescent="0.3">
      <c r="A495">
        <v>494</v>
      </c>
      <c r="B495" s="1">
        <v>45420</v>
      </c>
      <c r="C495" t="s">
        <v>513</v>
      </c>
      <c r="D495" t="s">
        <v>4</v>
      </c>
      <c r="E495" t="s">
        <v>14</v>
      </c>
      <c r="F495">
        <v>39</v>
      </c>
      <c r="G495" t="s">
        <v>23</v>
      </c>
      <c r="H495">
        <v>5</v>
      </c>
      <c r="I495">
        <v>206</v>
      </c>
      <c r="J495">
        <v>1030</v>
      </c>
    </row>
    <row r="496" spans="1:10" x14ac:dyDescent="0.3">
      <c r="A496">
        <v>495</v>
      </c>
      <c r="B496" s="1">
        <v>45421</v>
      </c>
      <c r="C496" t="s">
        <v>514</v>
      </c>
      <c r="D496" t="s">
        <v>1</v>
      </c>
      <c r="E496" t="s">
        <v>19</v>
      </c>
      <c r="F496">
        <v>56</v>
      </c>
      <c r="G496" t="s">
        <v>27</v>
      </c>
      <c r="H496">
        <v>4</v>
      </c>
      <c r="I496">
        <v>135</v>
      </c>
      <c r="J496">
        <v>540</v>
      </c>
    </row>
    <row r="497" spans="1:10" x14ac:dyDescent="0.3">
      <c r="A497">
        <v>496</v>
      </c>
      <c r="B497" s="1">
        <v>45422</v>
      </c>
      <c r="C497" t="s">
        <v>515</v>
      </c>
      <c r="D497" t="s">
        <v>1</v>
      </c>
      <c r="E497" t="s">
        <v>14</v>
      </c>
      <c r="F497">
        <v>41</v>
      </c>
      <c r="G497" t="s">
        <v>20</v>
      </c>
      <c r="H497">
        <v>4</v>
      </c>
      <c r="I497">
        <v>329</v>
      </c>
      <c r="J497">
        <v>1316</v>
      </c>
    </row>
    <row r="498" spans="1:10" x14ac:dyDescent="0.3">
      <c r="A498">
        <v>497</v>
      </c>
      <c r="B498" s="1">
        <v>45423</v>
      </c>
      <c r="C498" t="s">
        <v>516</v>
      </c>
      <c r="D498" t="s">
        <v>2</v>
      </c>
      <c r="E498" t="s">
        <v>14</v>
      </c>
      <c r="F498">
        <v>29</v>
      </c>
      <c r="G498" t="s">
        <v>20</v>
      </c>
      <c r="H498">
        <v>3</v>
      </c>
      <c r="I498">
        <v>478</v>
      </c>
      <c r="J498">
        <v>1434</v>
      </c>
    </row>
    <row r="499" spans="1:10" x14ac:dyDescent="0.3">
      <c r="A499">
        <v>498</v>
      </c>
      <c r="B499" s="1">
        <v>45424</v>
      </c>
      <c r="C499" t="s">
        <v>517</v>
      </c>
      <c r="D499" t="s">
        <v>2</v>
      </c>
      <c r="E499" t="s">
        <v>14</v>
      </c>
      <c r="F499">
        <v>55</v>
      </c>
      <c r="G499" t="s">
        <v>17</v>
      </c>
      <c r="H499">
        <v>4</v>
      </c>
      <c r="I499">
        <v>345</v>
      </c>
      <c r="J499">
        <v>1380</v>
      </c>
    </row>
    <row r="500" spans="1:10" x14ac:dyDescent="0.3">
      <c r="A500">
        <v>499</v>
      </c>
      <c r="B500" s="1">
        <v>45425</v>
      </c>
      <c r="C500" t="s">
        <v>518</v>
      </c>
      <c r="D500" t="s">
        <v>2</v>
      </c>
      <c r="E500" t="s">
        <v>14</v>
      </c>
      <c r="F500">
        <v>31</v>
      </c>
      <c r="G500" t="s">
        <v>27</v>
      </c>
      <c r="H500">
        <v>5</v>
      </c>
      <c r="I500">
        <v>302</v>
      </c>
      <c r="J500">
        <v>1510</v>
      </c>
    </row>
    <row r="501" spans="1:10" x14ac:dyDescent="0.3">
      <c r="A501">
        <v>500</v>
      </c>
      <c r="B501" s="1">
        <v>45426</v>
      </c>
      <c r="C501" t="s">
        <v>519</v>
      </c>
      <c r="D501" t="s">
        <v>3</v>
      </c>
      <c r="E501" t="s">
        <v>14</v>
      </c>
      <c r="F501">
        <v>49</v>
      </c>
      <c r="G501" t="s">
        <v>27</v>
      </c>
      <c r="H501">
        <v>4</v>
      </c>
      <c r="I501">
        <v>44</v>
      </c>
      <c r="J501">
        <v>176</v>
      </c>
    </row>
    <row r="502" spans="1:10" x14ac:dyDescent="0.3">
      <c r="A502">
        <v>501</v>
      </c>
      <c r="B502" s="1">
        <v>45427</v>
      </c>
      <c r="C502" t="s">
        <v>520</v>
      </c>
      <c r="D502" t="s">
        <v>2</v>
      </c>
      <c r="E502" t="s">
        <v>14</v>
      </c>
      <c r="F502">
        <v>34</v>
      </c>
      <c r="G502" t="s">
        <v>23</v>
      </c>
      <c r="H502">
        <v>1</v>
      </c>
      <c r="I502">
        <v>288</v>
      </c>
      <c r="J502">
        <v>288</v>
      </c>
    </row>
    <row r="503" spans="1:10" x14ac:dyDescent="0.3">
      <c r="A503">
        <v>502</v>
      </c>
      <c r="B503" s="1">
        <v>45428</v>
      </c>
      <c r="C503" t="s">
        <v>521</v>
      </c>
      <c r="D503" t="s">
        <v>3</v>
      </c>
      <c r="E503" t="s">
        <v>19</v>
      </c>
      <c r="F503">
        <v>19</v>
      </c>
      <c r="G503" t="s">
        <v>20</v>
      </c>
      <c r="H503">
        <v>4</v>
      </c>
      <c r="I503">
        <v>368</v>
      </c>
      <c r="J503">
        <v>1472</v>
      </c>
    </row>
    <row r="504" spans="1:10" x14ac:dyDescent="0.3">
      <c r="A504">
        <v>503</v>
      </c>
      <c r="B504" s="1">
        <v>45429</v>
      </c>
      <c r="C504" t="s">
        <v>522</v>
      </c>
      <c r="D504" t="s">
        <v>2</v>
      </c>
      <c r="E504" t="s">
        <v>14</v>
      </c>
      <c r="F504">
        <v>48</v>
      </c>
      <c r="G504" t="s">
        <v>20</v>
      </c>
      <c r="H504">
        <v>4</v>
      </c>
      <c r="I504">
        <v>310</v>
      </c>
      <c r="J504">
        <v>1240</v>
      </c>
    </row>
    <row r="505" spans="1:10" x14ac:dyDescent="0.3">
      <c r="A505">
        <v>504</v>
      </c>
      <c r="B505" s="1">
        <v>45430</v>
      </c>
      <c r="C505" t="s">
        <v>523</v>
      </c>
      <c r="D505" t="s">
        <v>1</v>
      </c>
      <c r="E505" t="s">
        <v>14</v>
      </c>
      <c r="F505">
        <v>55</v>
      </c>
      <c r="G505" t="s">
        <v>20</v>
      </c>
      <c r="H505">
        <v>3</v>
      </c>
      <c r="I505">
        <v>418</v>
      </c>
      <c r="J505">
        <v>1254</v>
      </c>
    </row>
    <row r="506" spans="1:10" x14ac:dyDescent="0.3">
      <c r="A506">
        <v>505</v>
      </c>
      <c r="B506" s="1">
        <v>45431</v>
      </c>
      <c r="C506" t="s">
        <v>524</v>
      </c>
      <c r="D506" t="s">
        <v>3</v>
      </c>
      <c r="E506" t="s">
        <v>19</v>
      </c>
      <c r="F506">
        <v>19</v>
      </c>
      <c r="G506" t="s">
        <v>20</v>
      </c>
      <c r="H506">
        <v>4</v>
      </c>
      <c r="I506">
        <v>354</v>
      </c>
      <c r="J506">
        <v>1416</v>
      </c>
    </row>
    <row r="507" spans="1:10" x14ac:dyDescent="0.3">
      <c r="A507">
        <v>506</v>
      </c>
      <c r="B507" s="1">
        <v>45432</v>
      </c>
      <c r="C507" t="s">
        <v>525</v>
      </c>
      <c r="D507" t="s">
        <v>4</v>
      </c>
      <c r="E507" t="s">
        <v>19</v>
      </c>
      <c r="F507">
        <v>50</v>
      </c>
      <c r="G507" t="s">
        <v>17</v>
      </c>
      <c r="H507">
        <v>2</v>
      </c>
      <c r="I507">
        <v>27</v>
      </c>
      <c r="J507">
        <v>54</v>
      </c>
    </row>
    <row r="508" spans="1:10" x14ac:dyDescent="0.3">
      <c r="A508">
        <v>507</v>
      </c>
      <c r="B508" s="1">
        <v>45433</v>
      </c>
      <c r="C508" t="s">
        <v>526</v>
      </c>
      <c r="D508" t="s">
        <v>3</v>
      </c>
      <c r="E508" t="s">
        <v>19</v>
      </c>
      <c r="F508">
        <v>18</v>
      </c>
      <c r="G508" t="s">
        <v>23</v>
      </c>
      <c r="H508">
        <v>5</v>
      </c>
      <c r="I508">
        <v>182</v>
      </c>
      <c r="J508">
        <v>910</v>
      </c>
    </row>
    <row r="509" spans="1:10" x14ac:dyDescent="0.3">
      <c r="A509">
        <v>508</v>
      </c>
      <c r="B509" s="1">
        <v>45434</v>
      </c>
      <c r="C509" t="s">
        <v>527</v>
      </c>
      <c r="D509" t="s">
        <v>3</v>
      </c>
      <c r="E509" t="s">
        <v>19</v>
      </c>
      <c r="F509">
        <v>50</v>
      </c>
      <c r="G509" t="s">
        <v>23</v>
      </c>
      <c r="H509">
        <v>2</v>
      </c>
      <c r="I509">
        <v>88</v>
      </c>
      <c r="J509">
        <v>176</v>
      </c>
    </row>
    <row r="510" spans="1:10" x14ac:dyDescent="0.3">
      <c r="A510">
        <v>509</v>
      </c>
      <c r="B510" s="1">
        <v>45435</v>
      </c>
      <c r="C510" t="s">
        <v>528</v>
      </c>
      <c r="D510" t="s">
        <v>4</v>
      </c>
      <c r="E510" t="s">
        <v>19</v>
      </c>
      <c r="F510">
        <v>31</v>
      </c>
      <c r="G510" t="s">
        <v>27</v>
      </c>
      <c r="H510">
        <v>1</v>
      </c>
      <c r="I510">
        <v>182</v>
      </c>
      <c r="J510">
        <v>182</v>
      </c>
    </row>
    <row r="511" spans="1:10" x14ac:dyDescent="0.3">
      <c r="A511">
        <v>510</v>
      </c>
      <c r="B511" s="1">
        <v>45436</v>
      </c>
      <c r="C511" t="s">
        <v>529</v>
      </c>
      <c r="D511" t="s">
        <v>3</v>
      </c>
      <c r="E511" t="s">
        <v>19</v>
      </c>
      <c r="F511">
        <v>41</v>
      </c>
      <c r="G511" t="s">
        <v>15</v>
      </c>
      <c r="H511">
        <v>2</v>
      </c>
      <c r="I511">
        <v>349</v>
      </c>
      <c r="J511">
        <v>698</v>
      </c>
    </row>
    <row r="512" spans="1:10" x14ac:dyDescent="0.3">
      <c r="A512">
        <v>511</v>
      </c>
      <c r="B512" s="1">
        <v>45437</v>
      </c>
      <c r="C512" t="s">
        <v>530</v>
      </c>
      <c r="D512" t="s">
        <v>1</v>
      </c>
      <c r="E512" t="s">
        <v>14</v>
      </c>
      <c r="F512">
        <v>56</v>
      </c>
      <c r="G512" t="s">
        <v>17</v>
      </c>
      <c r="H512">
        <v>5</v>
      </c>
      <c r="I512">
        <v>133</v>
      </c>
      <c r="J512">
        <v>665</v>
      </c>
    </row>
    <row r="513" spans="1:10" x14ac:dyDescent="0.3">
      <c r="A513">
        <v>512</v>
      </c>
      <c r="B513" s="1">
        <v>45438</v>
      </c>
      <c r="C513" t="s">
        <v>531</v>
      </c>
      <c r="D513" t="s">
        <v>2</v>
      </c>
      <c r="E513" t="s">
        <v>19</v>
      </c>
      <c r="F513">
        <v>21</v>
      </c>
      <c r="G513" t="s">
        <v>23</v>
      </c>
      <c r="H513">
        <v>5</v>
      </c>
      <c r="I513">
        <v>74</v>
      </c>
      <c r="J513">
        <v>370</v>
      </c>
    </row>
    <row r="514" spans="1:10" x14ac:dyDescent="0.3">
      <c r="A514">
        <v>513</v>
      </c>
      <c r="B514" s="1">
        <v>45439</v>
      </c>
      <c r="C514" t="s">
        <v>532</v>
      </c>
      <c r="D514" t="s">
        <v>4</v>
      </c>
      <c r="E514" t="s">
        <v>14</v>
      </c>
      <c r="F514">
        <v>33</v>
      </c>
      <c r="G514" t="s">
        <v>17</v>
      </c>
      <c r="H514">
        <v>3</v>
      </c>
      <c r="I514">
        <v>101</v>
      </c>
      <c r="J514">
        <v>303</v>
      </c>
    </row>
    <row r="515" spans="1:10" x14ac:dyDescent="0.3">
      <c r="A515">
        <v>514</v>
      </c>
      <c r="B515" s="1">
        <v>45440</v>
      </c>
      <c r="C515" t="s">
        <v>533</v>
      </c>
      <c r="D515" t="s">
        <v>2</v>
      </c>
      <c r="E515" t="s">
        <v>14</v>
      </c>
      <c r="F515">
        <v>49</v>
      </c>
      <c r="G515" t="s">
        <v>23</v>
      </c>
      <c r="H515">
        <v>1</v>
      </c>
      <c r="I515">
        <v>317</v>
      </c>
      <c r="J515">
        <v>317</v>
      </c>
    </row>
    <row r="516" spans="1:10" x14ac:dyDescent="0.3">
      <c r="A516">
        <v>515</v>
      </c>
      <c r="B516" s="1">
        <v>45441</v>
      </c>
      <c r="C516" t="s">
        <v>534</v>
      </c>
      <c r="D516" t="s">
        <v>1</v>
      </c>
      <c r="E516" t="s">
        <v>19</v>
      </c>
      <c r="F516">
        <v>48</v>
      </c>
      <c r="G516" t="s">
        <v>15</v>
      </c>
      <c r="H516">
        <v>2</v>
      </c>
      <c r="I516">
        <v>249</v>
      </c>
      <c r="J516">
        <v>498</v>
      </c>
    </row>
    <row r="517" spans="1:10" x14ac:dyDescent="0.3">
      <c r="A517">
        <v>516</v>
      </c>
      <c r="B517" s="1">
        <v>45442</v>
      </c>
      <c r="C517" t="s">
        <v>535</v>
      </c>
      <c r="D517" t="s">
        <v>4</v>
      </c>
      <c r="E517" t="s">
        <v>14</v>
      </c>
      <c r="F517">
        <v>46</v>
      </c>
      <c r="G517" t="s">
        <v>17</v>
      </c>
      <c r="H517">
        <v>5</v>
      </c>
      <c r="I517">
        <v>52</v>
      </c>
      <c r="J517">
        <v>260</v>
      </c>
    </row>
    <row r="518" spans="1:10" x14ac:dyDescent="0.3">
      <c r="A518">
        <v>517</v>
      </c>
      <c r="B518" s="1">
        <v>45443</v>
      </c>
      <c r="C518" t="s">
        <v>536</v>
      </c>
      <c r="D518" t="s">
        <v>2</v>
      </c>
      <c r="E518" t="s">
        <v>14</v>
      </c>
      <c r="F518">
        <v>48</v>
      </c>
      <c r="G518" t="s">
        <v>23</v>
      </c>
      <c r="H518">
        <v>5</v>
      </c>
      <c r="I518">
        <v>201</v>
      </c>
      <c r="J518">
        <v>1005</v>
      </c>
    </row>
    <row r="519" spans="1:10" x14ac:dyDescent="0.3">
      <c r="A519">
        <v>518</v>
      </c>
      <c r="B519" s="1">
        <v>45444</v>
      </c>
      <c r="C519" t="s">
        <v>537</v>
      </c>
      <c r="D519" t="s">
        <v>2</v>
      </c>
      <c r="E519" t="s">
        <v>14</v>
      </c>
      <c r="F519">
        <v>24</v>
      </c>
      <c r="G519" t="s">
        <v>17</v>
      </c>
      <c r="H519">
        <v>5</v>
      </c>
      <c r="I519">
        <v>292</v>
      </c>
      <c r="J519">
        <v>1460</v>
      </c>
    </row>
    <row r="520" spans="1:10" x14ac:dyDescent="0.3">
      <c r="A520">
        <v>519</v>
      </c>
      <c r="B520" s="1">
        <v>45445</v>
      </c>
      <c r="C520" t="s">
        <v>538</v>
      </c>
      <c r="D520" t="s">
        <v>1</v>
      </c>
      <c r="E520" t="s">
        <v>14</v>
      </c>
      <c r="F520">
        <v>59</v>
      </c>
      <c r="G520" t="s">
        <v>20</v>
      </c>
      <c r="H520">
        <v>5</v>
      </c>
      <c r="I520">
        <v>382</v>
      </c>
      <c r="J520">
        <v>1910</v>
      </c>
    </row>
    <row r="521" spans="1:10" x14ac:dyDescent="0.3">
      <c r="A521">
        <v>520</v>
      </c>
      <c r="B521" s="1">
        <v>45446</v>
      </c>
      <c r="C521" t="s">
        <v>539</v>
      </c>
      <c r="D521" t="s">
        <v>2</v>
      </c>
      <c r="E521" t="s">
        <v>14</v>
      </c>
      <c r="F521">
        <v>31</v>
      </c>
      <c r="G521" t="s">
        <v>15</v>
      </c>
      <c r="H521">
        <v>3</v>
      </c>
      <c r="I521">
        <v>171</v>
      </c>
      <c r="J521">
        <v>513</v>
      </c>
    </row>
    <row r="522" spans="1:10" x14ac:dyDescent="0.3">
      <c r="A522">
        <v>521</v>
      </c>
      <c r="B522" s="1">
        <v>45447</v>
      </c>
      <c r="C522" t="s">
        <v>540</v>
      </c>
      <c r="D522" t="s">
        <v>1</v>
      </c>
      <c r="E522" t="s">
        <v>19</v>
      </c>
      <c r="F522">
        <v>39</v>
      </c>
      <c r="G522" t="s">
        <v>15</v>
      </c>
      <c r="H522">
        <v>5</v>
      </c>
      <c r="I522">
        <v>59</v>
      </c>
      <c r="J522">
        <v>295</v>
      </c>
    </row>
    <row r="523" spans="1:10" x14ac:dyDescent="0.3">
      <c r="A523">
        <v>522</v>
      </c>
      <c r="B523" s="1">
        <v>45448</v>
      </c>
      <c r="C523" t="s">
        <v>541</v>
      </c>
      <c r="D523" t="s">
        <v>3</v>
      </c>
      <c r="E523" t="s">
        <v>19</v>
      </c>
      <c r="F523">
        <v>60</v>
      </c>
      <c r="G523" t="s">
        <v>23</v>
      </c>
      <c r="H523">
        <v>1</v>
      </c>
      <c r="I523">
        <v>61</v>
      </c>
      <c r="J523">
        <v>61</v>
      </c>
    </row>
    <row r="524" spans="1:10" x14ac:dyDescent="0.3">
      <c r="A524">
        <v>523</v>
      </c>
      <c r="B524" s="1">
        <v>45449</v>
      </c>
      <c r="C524" t="s">
        <v>542</v>
      </c>
      <c r="D524" t="s">
        <v>1</v>
      </c>
      <c r="E524" t="s">
        <v>14</v>
      </c>
      <c r="F524">
        <v>60</v>
      </c>
      <c r="G524" t="s">
        <v>15</v>
      </c>
      <c r="H524">
        <v>1</v>
      </c>
      <c r="I524">
        <v>412</v>
      </c>
      <c r="J524">
        <v>412</v>
      </c>
    </row>
    <row r="525" spans="1:10" x14ac:dyDescent="0.3">
      <c r="A525">
        <v>524</v>
      </c>
      <c r="B525" s="1">
        <v>45450</v>
      </c>
      <c r="C525" t="s">
        <v>543</v>
      </c>
      <c r="D525" t="s">
        <v>3</v>
      </c>
      <c r="E525" t="s">
        <v>19</v>
      </c>
      <c r="F525">
        <v>51</v>
      </c>
      <c r="G525" t="s">
        <v>15</v>
      </c>
      <c r="H525">
        <v>2</v>
      </c>
      <c r="I525">
        <v>438</v>
      </c>
      <c r="J525">
        <v>876</v>
      </c>
    </row>
    <row r="526" spans="1:10" x14ac:dyDescent="0.3">
      <c r="A526">
        <v>525</v>
      </c>
      <c r="B526" s="1">
        <v>45451</v>
      </c>
      <c r="C526" t="s">
        <v>544</v>
      </c>
      <c r="D526" t="s">
        <v>4</v>
      </c>
      <c r="E526" t="s">
        <v>14</v>
      </c>
      <c r="F526">
        <v>35</v>
      </c>
      <c r="G526" t="s">
        <v>20</v>
      </c>
      <c r="H526">
        <v>3</v>
      </c>
      <c r="I526">
        <v>277</v>
      </c>
      <c r="J526">
        <v>831</v>
      </c>
    </row>
    <row r="527" spans="1:10" x14ac:dyDescent="0.3">
      <c r="A527">
        <v>526</v>
      </c>
      <c r="B527" s="1">
        <v>45452</v>
      </c>
      <c r="C527" t="s">
        <v>545</v>
      </c>
      <c r="D527" t="s">
        <v>2</v>
      </c>
      <c r="E527" t="s">
        <v>14</v>
      </c>
      <c r="F527">
        <v>39</v>
      </c>
      <c r="G527" t="s">
        <v>20</v>
      </c>
      <c r="H527">
        <v>4</v>
      </c>
      <c r="I527">
        <v>167</v>
      </c>
      <c r="J527">
        <v>668</v>
      </c>
    </row>
    <row r="528" spans="1:10" x14ac:dyDescent="0.3">
      <c r="A528">
        <v>527</v>
      </c>
      <c r="B528" s="1">
        <v>45453</v>
      </c>
      <c r="C528" t="s">
        <v>546</v>
      </c>
      <c r="D528" t="s">
        <v>1</v>
      </c>
      <c r="E528" t="s">
        <v>19</v>
      </c>
      <c r="F528">
        <v>43</v>
      </c>
      <c r="G528" t="s">
        <v>20</v>
      </c>
      <c r="H528">
        <v>1</v>
      </c>
      <c r="I528">
        <v>356</v>
      </c>
      <c r="J528">
        <v>356</v>
      </c>
    </row>
    <row r="529" spans="1:10" x14ac:dyDescent="0.3">
      <c r="A529">
        <v>528</v>
      </c>
      <c r="B529" s="1">
        <v>45454</v>
      </c>
      <c r="C529" t="s">
        <v>547</v>
      </c>
      <c r="D529" t="s">
        <v>1</v>
      </c>
      <c r="E529" t="s">
        <v>19</v>
      </c>
      <c r="F529">
        <v>30</v>
      </c>
      <c r="G529" t="s">
        <v>17</v>
      </c>
      <c r="H529">
        <v>4</v>
      </c>
      <c r="I529">
        <v>359</v>
      </c>
      <c r="J529">
        <v>1436</v>
      </c>
    </row>
    <row r="530" spans="1:10" x14ac:dyDescent="0.3">
      <c r="A530">
        <v>529</v>
      </c>
      <c r="B530" s="1">
        <v>45455</v>
      </c>
      <c r="C530" t="s">
        <v>548</v>
      </c>
      <c r="D530" t="s">
        <v>2</v>
      </c>
      <c r="E530" t="s">
        <v>14</v>
      </c>
      <c r="F530">
        <v>22</v>
      </c>
      <c r="G530" t="s">
        <v>20</v>
      </c>
      <c r="H530">
        <v>3</v>
      </c>
      <c r="I530">
        <v>473</v>
      </c>
      <c r="J530">
        <v>1419</v>
      </c>
    </row>
    <row r="531" spans="1:10" x14ac:dyDescent="0.3">
      <c r="A531">
        <v>530</v>
      </c>
      <c r="B531" s="1">
        <v>45456</v>
      </c>
      <c r="C531" t="s">
        <v>549</v>
      </c>
      <c r="D531" t="s">
        <v>2</v>
      </c>
      <c r="E531" t="s">
        <v>14</v>
      </c>
      <c r="F531">
        <v>56</v>
      </c>
      <c r="G531" t="s">
        <v>20</v>
      </c>
      <c r="H531">
        <v>3</v>
      </c>
      <c r="I531">
        <v>412</v>
      </c>
      <c r="J531">
        <v>1236</v>
      </c>
    </row>
    <row r="532" spans="1:10" x14ac:dyDescent="0.3">
      <c r="A532">
        <v>531</v>
      </c>
      <c r="B532" s="1">
        <v>45457</v>
      </c>
      <c r="C532" t="s">
        <v>550</v>
      </c>
      <c r="D532" t="s">
        <v>4</v>
      </c>
      <c r="E532" t="s">
        <v>19</v>
      </c>
      <c r="F532">
        <v>20</v>
      </c>
      <c r="G532" t="s">
        <v>17</v>
      </c>
      <c r="H532">
        <v>5</v>
      </c>
      <c r="I532">
        <v>483</v>
      </c>
      <c r="J532">
        <v>2415</v>
      </c>
    </row>
    <row r="533" spans="1:10" x14ac:dyDescent="0.3">
      <c r="A533">
        <v>532</v>
      </c>
      <c r="B533" s="1">
        <v>45458</v>
      </c>
      <c r="C533" t="s">
        <v>551</v>
      </c>
      <c r="D533" t="s">
        <v>4</v>
      </c>
      <c r="E533" t="s">
        <v>19</v>
      </c>
      <c r="F533">
        <v>29</v>
      </c>
      <c r="G533" t="s">
        <v>27</v>
      </c>
      <c r="H533">
        <v>4</v>
      </c>
      <c r="I533">
        <v>78</v>
      </c>
      <c r="J533">
        <v>312</v>
      </c>
    </row>
    <row r="534" spans="1:10" x14ac:dyDescent="0.3">
      <c r="A534">
        <v>533</v>
      </c>
      <c r="B534" s="1">
        <v>45459</v>
      </c>
      <c r="C534" t="s">
        <v>552</v>
      </c>
      <c r="D534" t="s">
        <v>1</v>
      </c>
      <c r="E534" t="s">
        <v>14</v>
      </c>
      <c r="F534">
        <v>25</v>
      </c>
      <c r="G534" t="s">
        <v>15</v>
      </c>
      <c r="H534">
        <v>5</v>
      </c>
      <c r="I534">
        <v>425</v>
      </c>
      <c r="J534">
        <v>2125</v>
      </c>
    </row>
    <row r="535" spans="1:10" x14ac:dyDescent="0.3">
      <c r="A535">
        <v>534</v>
      </c>
      <c r="B535" s="1">
        <v>45460</v>
      </c>
      <c r="C535" t="s">
        <v>553</v>
      </c>
      <c r="D535" t="s">
        <v>4</v>
      </c>
      <c r="E535" t="s">
        <v>19</v>
      </c>
      <c r="F535">
        <v>60</v>
      </c>
      <c r="G535" t="s">
        <v>20</v>
      </c>
      <c r="H535">
        <v>2</v>
      </c>
      <c r="I535">
        <v>127</v>
      </c>
      <c r="J535">
        <v>254</v>
      </c>
    </row>
    <row r="536" spans="1:10" x14ac:dyDescent="0.3">
      <c r="A536">
        <v>535</v>
      </c>
      <c r="B536" s="1">
        <v>45461</v>
      </c>
      <c r="C536" t="s">
        <v>554</v>
      </c>
      <c r="D536" t="s">
        <v>3</v>
      </c>
      <c r="E536" t="s">
        <v>19</v>
      </c>
      <c r="F536">
        <v>53</v>
      </c>
      <c r="G536" t="s">
        <v>15</v>
      </c>
      <c r="H536">
        <v>1</v>
      </c>
      <c r="I536">
        <v>279</v>
      </c>
      <c r="J536">
        <v>279</v>
      </c>
    </row>
    <row r="537" spans="1:10" x14ac:dyDescent="0.3">
      <c r="A537">
        <v>536</v>
      </c>
      <c r="B537" s="1">
        <v>45462</v>
      </c>
      <c r="C537" t="s">
        <v>555</v>
      </c>
      <c r="D537" t="s">
        <v>4</v>
      </c>
      <c r="E537" t="s">
        <v>14</v>
      </c>
      <c r="F537">
        <v>32</v>
      </c>
      <c r="G537" t="s">
        <v>15</v>
      </c>
      <c r="H537">
        <v>1</v>
      </c>
      <c r="I537">
        <v>201</v>
      </c>
      <c r="J537">
        <v>201</v>
      </c>
    </row>
    <row r="538" spans="1:10" x14ac:dyDescent="0.3">
      <c r="A538">
        <v>537</v>
      </c>
      <c r="B538" s="1">
        <v>45463</v>
      </c>
      <c r="C538" t="s">
        <v>556</v>
      </c>
      <c r="D538" t="s">
        <v>4</v>
      </c>
      <c r="E538" t="s">
        <v>14</v>
      </c>
      <c r="F538">
        <v>34</v>
      </c>
      <c r="G538" t="s">
        <v>27</v>
      </c>
      <c r="H538">
        <v>3</v>
      </c>
      <c r="I538">
        <v>114</v>
      </c>
      <c r="J538">
        <v>342</v>
      </c>
    </row>
    <row r="539" spans="1:10" x14ac:dyDescent="0.3">
      <c r="A539">
        <v>538</v>
      </c>
      <c r="B539" s="1">
        <v>45464</v>
      </c>
      <c r="C539" t="s">
        <v>557</v>
      </c>
      <c r="D539" t="s">
        <v>1</v>
      </c>
      <c r="E539" t="s">
        <v>14</v>
      </c>
      <c r="F539">
        <v>29</v>
      </c>
      <c r="G539" t="s">
        <v>17</v>
      </c>
      <c r="H539">
        <v>3</v>
      </c>
      <c r="I539">
        <v>176</v>
      </c>
      <c r="J539">
        <v>528</v>
      </c>
    </row>
    <row r="540" spans="1:10" x14ac:dyDescent="0.3">
      <c r="A540">
        <v>539</v>
      </c>
      <c r="B540" s="1">
        <v>45465</v>
      </c>
      <c r="C540" t="s">
        <v>558</v>
      </c>
      <c r="D540" t="s">
        <v>3</v>
      </c>
      <c r="E540" t="s">
        <v>19</v>
      </c>
      <c r="F540">
        <v>39</v>
      </c>
      <c r="G540" t="s">
        <v>17</v>
      </c>
      <c r="H540">
        <v>4</v>
      </c>
      <c r="I540">
        <v>464</v>
      </c>
      <c r="J540">
        <v>1856</v>
      </c>
    </row>
    <row r="541" spans="1:10" x14ac:dyDescent="0.3">
      <c r="A541">
        <v>540</v>
      </c>
      <c r="B541" s="1">
        <v>45466</v>
      </c>
      <c r="C541" t="s">
        <v>559</v>
      </c>
      <c r="D541" t="s">
        <v>4</v>
      </c>
      <c r="E541" t="s">
        <v>14</v>
      </c>
      <c r="F541">
        <v>25</v>
      </c>
      <c r="G541" t="s">
        <v>27</v>
      </c>
      <c r="H541">
        <v>3</v>
      </c>
      <c r="I541">
        <v>101</v>
      </c>
      <c r="J541">
        <v>303</v>
      </c>
    </row>
    <row r="542" spans="1:10" x14ac:dyDescent="0.3">
      <c r="A542">
        <v>541</v>
      </c>
      <c r="B542" s="1">
        <v>45467</v>
      </c>
      <c r="C542" t="s">
        <v>560</v>
      </c>
      <c r="D542" t="s">
        <v>3</v>
      </c>
      <c r="E542" t="s">
        <v>14</v>
      </c>
      <c r="F542">
        <v>51</v>
      </c>
      <c r="G542" t="s">
        <v>15</v>
      </c>
      <c r="H542">
        <v>5</v>
      </c>
      <c r="I542">
        <v>87</v>
      </c>
      <c r="J542">
        <v>435</v>
      </c>
    </row>
    <row r="543" spans="1:10" x14ac:dyDescent="0.3">
      <c r="A543">
        <v>542</v>
      </c>
      <c r="B543" s="1">
        <v>45468</v>
      </c>
      <c r="C543" t="s">
        <v>561</v>
      </c>
      <c r="D543" t="s">
        <v>3</v>
      </c>
      <c r="E543" t="s">
        <v>19</v>
      </c>
      <c r="F543">
        <v>50</v>
      </c>
      <c r="G543" t="s">
        <v>23</v>
      </c>
      <c r="H543">
        <v>3</v>
      </c>
      <c r="I543">
        <v>260</v>
      </c>
      <c r="J543">
        <v>780</v>
      </c>
    </row>
    <row r="544" spans="1:10" x14ac:dyDescent="0.3">
      <c r="A544">
        <v>543</v>
      </c>
      <c r="B544" s="1">
        <v>45469</v>
      </c>
      <c r="C544" t="s">
        <v>562</v>
      </c>
      <c r="D544" t="s">
        <v>3</v>
      </c>
      <c r="E544" t="s">
        <v>19</v>
      </c>
      <c r="F544">
        <v>28</v>
      </c>
      <c r="G544" t="s">
        <v>15</v>
      </c>
      <c r="H544">
        <v>1</v>
      </c>
      <c r="I544">
        <v>202</v>
      </c>
      <c r="J544">
        <v>202</v>
      </c>
    </row>
    <row r="545" spans="1:10" x14ac:dyDescent="0.3">
      <c r="A545">
        <v>544</v>
      </c>
      <c r="B545" s="1">
        <v>45470</v>
      </c>
      <c r="C545" t="s">
        <v>563</v>
      </c>
      <c r="D545" t="s">
        <v>2</v>
      </c>
      <c r="E545" t="s">
        <v>19</v>
      </c>
      <c r="F545">
        <v>20</v>
      </c>
      <c r="G545" t="s">
        <v>23</v>
      </c>
      <c r="H545">
        <v>2</v>
      </c>
      <c r="I545">
        <v>149</v>
      </c>
      <c r="J545">
        <v>298</v>
      </c>
    </row>
    <row r="546" spans="1:10" x14ac:dyDescent="0.3">
      <c r="A546">
        <v>545</v>
      </c>
      <c r="B546" s="1">
        <v>45471</v>
      </c>
      <c r="C546" t="s">
        <v>564</v>
      </c>
      <c r="D546" t="s">
        <v>2</v>
      </c>
      <c r="E546" t="s">
        <v>14</v>
      </c>
      <c r="F546">
        <v>48</v>
      </c>
      <c r="G546" t="s">
        <v>15</v>
      </c>
      <c r="H546">
        <v>2</v>
      </c>
      <c r="I546">
        <v>126</v>
      </c>
      <c r="J546">
        <v>252</v>
      </c>
    </row>
    <row r="547" spans="1:10" x14ac:dyDescent="0.3">
      <c r="A547">
        <v>546</v>
      </c>
      <c r="B547" s="1">
        <v>45472</v>
      </c>
      <c r="C547" t="s">
        <v>565</v>
      </c>
      <c r="D547" t="s">
        <v>2</v>
      </c>
      <c r="E547" t="s">
        <v>19</v>
      </c>
      <c r="F547">
        <v>28</v>
      </c>
      <c r="G547" t="s">
        <v>23</v>
      </c>
      <c r="H547">
        <v>4</v>
      </c>
      <c r="I547">
        <v>458</v>
      </c>
      <c r="J547">
        <v>1832</v>
      </c>
    </row>
    <row r="548" spans="1:10" x14ac:dyDescent="0.3">
      <c r="A548">
        <v>547</v>
      </c>
      <c r="B548" s="1">
        <v>45473</v>
      </c>
      <c r="C548" t="s">
        <v>566</v>
      </c>
      <c r="D548" t="s">
        <v>2</v>
      </c>
      <c r="E548" t="s">
        <v>19</v>
      </c>
      <c r="F548">
        <v>41</v>
      </c>
      <c r="G548" t="s">
        <v>20</v>
      </c>
      <c r="H548">
        <v>1</v>
      </c>
      <c r="I548">
        <v>492</v>
      </c>
      <c r="J548">
        <v>492</v>
      </c>
    </row>
    <row r="549" spans="1:10" x14ac:dyDescent="0.3">
      <c r="A549">
        <v>548</v>
      </c>
      <c r="B549" s="1">
        <v>45474</v>
      </c>
      <c r="C549" t="s">
        <v>567</v>
      </c>
      <c r="D549" t="s">
        <v>1</v>
      </c>
      <c r="E549" t="s">
        <v>19</v>
      </c>
      <c r="F549">
        <v>28</v>
      </c>
      <c r="G549" t="s">
        <v>20</v>
      </c>
      <c r="H549">
        <v>3</v>
      </c>
      <c r="I549">
        <v>408</v>
      </c>
      <c r="J549">
        <v>1224</v>
      </c>
    </row>
    <row r="550" spans="1:10" x14ac:dyDescent="0.3">
      <c r="A550">
        <v>549</v>
      </c>
      <c r="B550" s="1">
        <v>45475</v>
      </c>
      <c r="C550" t="s">
        <v>568</v>
      </c>
      <c r="D550" t="s">
        <v>4</v>
      </c>
      <c r="E550" t="s">
        <v>19</v>
      </c>
      <c r="F550">
        <v>59</v>
      </c>
      <c r="G550" t="s">
        <v>20</v>
      </c>
      <c r="H550">
        <v>3</v>
      </c>
      <c r="I550">
        <v>66</v>
      </c>
      <c r="J550">
        <v>198</v>
      </c>
    </row>
    <row r="551" spans="1:10" x14ac:dyDescent="0.3">
      <c r="A551">
        <v>550</v>
      </c>
      <c r="B551" s="1">
        <v>45476</v>
      </c>
      <c r="C551" t="s">
        <v>569</v>
      </c>
      <c r="D551" t="s">
        <v>2</v>
      </c>
      <c r="E551" t="s">
        <v>19</v>
      </c>
      <c r="F551">
        <v>50</v>
      </c>
      <c r="G551" t="s">
        <v>27</v>
      </c>
      <c r="H551">
        <v>1</v>
      </c>
      <c r="I551">
        <v>156</v>
      </c>
      <c r="J551">
        <v>156</v>
      </c>
    </row>
    <row r="552" spans="1:10" x14ac:dyDescent="0.3">
      <c r="A552">
        <v>551</v>
      </c>
      <c r="B552" s="1">
        <v>45477</v>
      </c>
      <c r="C552" t="s">
        <v>570</v>
      </c>
      <c r="D552" t="s">
        <v>1</v>
      </c>
      <c r="E552" t="s">
        <v>19</v>
      </c>
      <c r="F552">
        <v>59</v>
      </c>
      <c r="G552" t="s">
        <v>17</v>
      </c>
      <c r="H552">
        <v>4</v>
      </c>
      <c r="I552">
        <v>253</v>
      </c>
      <c r="J552">
        <v>1012</v>
      </c>
    </row>
    <row r="553" spans="1:10" x14ac:dyDescent="0.3">
      <c r="A553">
        <v>552</v>
      </c>
      <c r="B553" s="1">
        <v>45478</v>
      </c>
      <c r="C553" t="s">
        <v>571</v>
      </c>
      <c r="D553" t="s">
        <v>4</v>
      </c>
      <c r="E553" t="s">
        <v>14</v>
      </c>
      <c r="F553">
        <v>57</v>
      </c>
      <c r="G553" t="s">
        <v>17</v>
      </c>
      <c r="H553">
        <v>4</v>
      </c>
      <c r="I553">
        <v>186</v>
      </c>
      <c r="J553">
        <v>744</v>
      </c>
    </row>
    <row r="554" spans="1:10" x14ac:dyDescent="0.3">
      <c r="A554">
        <v>553</v>
      </c>
      <c r="B554" s="1">
        <v>45479</v>
      </c>
      <c r="C554" t="s">
        <v>572</v>
      </c>
      <c r="D554" t="s">
        <v>2</v>
      </c>
      <c r="E554" t="s">
        <v>19</v>
      </c>
      <c r="F554">
        <v>41</v>
      </c>
      <c r="G554" t="s">
        <v>17</v>
      </c>
      <c r="H554">
        <v>2</v>
      </c>
      <c r="I554">
        <v>186</v>
      </c>
      <c r="J554">
        <v>372</v>
      </c>
    </row>
    <row r="555" spans="1:10" x14ac:dyDescent="0.3">
      <c r="A555">
        <v>554</v>
      </c>
      <c r="B555" s="1">
        <v>45480</v>
      </c>
      <c r="C555" t="s">
        <v>573</v>
      </c>
      <c r="D555" t="s">
        <v>4</v>
      </c>
      <c r="E555" t="s">
        <v>14</v>
      </c>
      <c r="F555">
        <v>50</v>
      </c>
      <c r="G555" t="s">
        <v>15</v>
      </c>
      <c r="H555">
        <v>1</v>
      </c>
      <c r="I555">
        <v>456</v>
      </c>
      <c r="J555">
        <v>456</v>
      </c>
    </row>
    <row r="556" spans="1:10" x14ac:dyDescent="0.3">
      <c r="A556">
        <v>555</v>
      </c>
      <c r="B556" s="1">
        <v>45481</v>
      </c>
      <c r="C556" t="s">
        <v>574</v>
      </c>
      <c r="D556" t="s">
        <v>2</v>
      </c>
      <c r="E556" t="s">
        <v>19</v>
      </c>
      <c r="F556">
        <v>35</v>
      </c>
      <c r="G556" t="s">
        <v>23</v>
      </c>
      <c r="H556">
        <v>4</v>
      </c>
      <c r="I556">
        <v>439</v>
      </c>
      <c r="J556">
        <v>1756</v>
      </c>
    </row>
    <row r="557" spans="1:10" x14ac:dyDescent="0.3">
      <c r="A557">
        <v>556</v>
      </c>
      <c r="B557" s="1">
        <v>45482</v>
      </c>
      <c r="C557" t="s">
        <v>575</v>
      </c>
      <c r="D557" t="s">
        <v>1</v>
      </c>
      <c r="E557" t="s">
        <v>14</v>
      </c>
      <c r="F557">
        <v>57</v>
      </c>
      <c r="G557" t="s">
        <v>23</v>
      </c>
      <c r="H557">
        <v>4</v>
      </c>
      <c r="I557">
        <v>203</v>
      </c>
      <c r="J557">
        <v>812</v>
      </c>
    </row>
    <row r="558" spans="1:10" x14ac:dyDescent="0.3">
      <c r="A558">
        <v>557</v>
      </c>
      <c r="B558" s="1">
        <v>45483</v>
      </c>
      <c r="C558" t="s">
        <v>576</v>
      </c>
      <c r="D558" t="s">
        <v>3</v>
      </c>
      <c r="E558" t="s">
        <v>19</v>
      </c>
      <c r="F558">
        <v>24</v>
      </c>
      <c r="G558" t="s">
        <v>27</v>
      </c>
      <c r="H558">
        <v>4</v>
      </c>
      <c r="I558">
        <v>77</v>
      </c>
      <c r="J558">
        <v>308</v>
      </c>
    </row>
    <row r="559" spans="1:10" x14ac:dyDescent="0.3">
      <c r="A559">
        <v>558</v>
      </c>
      <c r="B559" s="1">
        <v>45484</v>
      </c>
      <c r="C559" t="s">
        <v>577</v>
      </c>
      <c r="D559" t="s">
        <v>3</v>
      </c>
      <c r="E559" t="s">
        <v>19</v>
      </c>
      <c r="F559">
        <v>56</v>
      </c>
      <c r="G559" t="s">
        <v>17</v>
      </c>
      <c r="H559">
        <v>4</v>
      </c>
      <c r="I559">
        <v>273</v>
      </c>
      <c r="J559">
        <v>1092</v>
      </c>
    </row>
    <row r="560" spans="1:10" x14ac:dyDescent="0.3">
      <c r="A560">
        <v>559</v>
      </c>
      <c r="B560" s="1">
        <v>45485</v>
      </c>
      <c r="C560" t="s">
        <v>578</v>
      </c>
      <c r="D560" t="s">
        <v>4</v>
      </c>
      <c r="E560" t="s">
        <v>14</v>
      </c>
      <c r="F560">
        <v>60</v>
      </c>
      <c r="G560" t="s">
        <v>23</v>
      </c>
      <c r="H560">
        <v>2</v>
      </c>
      <c r="I560">
        <v>35</v>
      </c>
      <c r="J560">
        <v>70</v>
      </c>
    </row>
    <row r="561" spans="1:10" x14ac:dyDescent="0.3">
      <c r="A561">
        <v>560</v>
      </c>
      <c r="B561" s="1">
        <v>45486</v>
      </c>
      <c r="C561" t="s">
        <v>579</v>
      </c>
      <c r="D561" t="s">
        <v>1</v>
      </c>
      <c r="E561" t="s">
        <v>19</v>
      </c>
      <c r="F561">
        <v>48</v>
      </c>
      <c r="G561" t="s">
        <v>23</v>
      </c>
      <c r="H561">
        <v>2</v>
      </c>
      <c r="I561">
        <v>156</v>
      </c>
      <c r="J561">
        <v>312</v>
      </c>
    </row>
    <row r="562" spans="1:10" x14ac:dyDescent="0.3">
      <c r="A562">
        <v>561</v>
      </c>
      <c r="B562" s="1">
        <v>45487</v>
      </c>
      <c r="C562" t="s">
        <v>580</v>
      </c>
      <c r="D562" t="s">
        <v>3</v>
      </c>
      <c r="E562" t="s">
        <v>14</v>
      </c>
      <c r="F562">
        <v>59</v>
      </c>
      <c r="G562" t="s">
        <v>17</v>
      </c>
      <c r="H562">
        <v>1</v>
      </c>
      <c r="I562">
        <v>374</v>
      </c>
      <c r="J562">
        <v>374</v>
      </c>
    </row>
    <row r="563" spans="1:10" x14ac:dyDescent="0.3">
      <c r="A563">
        <v>562</v>
      </c>
      <c r="B563" s="1">
        <v>45488</v>
      </c>
      <c r="C563" t="s">
        <v>581</v>
      </c>
      <c r="D563" t="s">
        <v>2</v>
      </c>
      <c r="E563" t="s">
        <v>14</v>
      </c>
      <c r="F563">
        <v>22</v>
      </c>
      <c r="G563" t="s">
        <v>15</v>
      </c>
      <c r="H563">
        <v>4</v>
      </c>
      <c r="I563">
        <v>154</v>
      </c>
      <c r="J563">
        <v>616</v>
      </c>
    </row>
    <row r="564" spans="1:10" x14ac:dyDescent="0.3">
      <c r="A564">
        <v>563</v>
      </c>
      <c r="B564" s="1">
        <v>45489</v>
      </c>
      <c r="C564" t="s">
        <v>582</v>
      </c>
      <c r="D564" t="s">
        <v>3</v>
      </c>
      <c r="E564" t="s">
        <v>14</v>
      </c>
      <c r="F564">
        <v>39</v>
      </c>
      <c r="G564" t="s">
        <v>17</v>
      </c>
      <c r="H564">
        <v>1</v>
      </c>
      <c r="I564">
        <v>284</v>
      </c>
      <c r="J564">
        <v>284</v>
      </c>
    </row>
    <row r="565" spans="1:10" x14ac:dyDescent="0.3">
      <c r="A565">
        <v>564</v>
      </c>
      <c r="B565" s="1">
        <v>45490</v>
      </c>
      <c r="C565" t="s">
        <v>583</v>
      </c>
      <c r="D565" t="s">
        <v>4</v>
      </c>
      <c r="E565" t="s">
        <v>14</v>
      </c>
      <c r="F565">
        <v>22</v>
      </c>
      <c r="G565" t="s">
        <v>27</v>
      </c>
      <c r="H565">
        <v>5</v>
      </c>
      <c r="I565">
        <v>276</v>
      </c>
      <c r="J565">
        <v>1380</v>
      </c>
    </row>
    <row r="566" spans="1:10" x14ac:dyDescent="0.3">
      <c r="A566">
        <v>565</v>
      </c>
      <c r="B566" s="1">
        <v>45491</v>
      </c>
      <c r="C566" t="s">
        <v>584</v>
      </c>
      <c r="D566" t="s">
        <v>4</v>
      </c>
      <c r="E566" t="s">
        <v>14</v>
      </c>
      <c r="F566">
        <v>59</v>
      </c>
      <c r="G566" t="s">
        <v>17</v>
      </c>
      <c r="H566">
        <v>3</v>
      </c>
      <c r="I566">
        <v>180</v>
      </c>
      <c r="J566">
        <v>540</v>
      </c>
    </row>
    <row r="567" spans="1:10" x14ac:dyDescent="0.3">
      <c r="A567">
        <v>566</v>
      </c>
      <c r="B567" s="1">
        <v>45492</v>
      </c>
      <c r="C567" t="s">
        <v>585</v>
      </c>
      <c r="D567" t="s">
        <v>1</v>
      </c>
      <c r="E567" t="s">
        <v>19</v>
      </c>
      <c r="F567">
        <v>21</v>
      </c>
      <c r="G567" t="s">
        <v>27</v>
      </c>
      <c r="H567">
        <v>4</v>
      </c>
      <c r="I567">
        <v>142</v>
      </c>
      <c r="J567">
        <v>568</v>
      </c>
    </row>
    <row r="568" spans="1:10" x14ac:dyDescent="0.3">
      <c r="A568">
        <v>567</v>
      </c>
      <c r="B568" s="1">
        <v>45493</v>
      </c>
      <c r="C568" t="s">
        <v>586</v>
      </c>
      <c r="D568" t="s">
        <v>4</v>
      </c>
      <c r="E568" t="s">
        <v>19</v>
      </c>
      <c r="F568">
        <v>42</v>
      </c>
      <c r="G568" t="s">
        <v>15</v>
      </c>
      <c r="H568">
        <v>3</v>
      </c>
      <c r="I568">
        <v>220</v>
      </c>
      <c r="J568">
        <v>660</v>
      </c>
    </row>
    <row r="569" spans="1:10" x14ac:dyDescent="0.3">
      <c r="A569">
        <v>568</v>
      </c>
      <c r="B569" s="1">
        <v>45494</v>
      </c>
      <c r="C569" t="s">
        <v>587</v>
      </c>
      <c r="D569" t="s">
        <v>3</v>
      </c>
      <c r="E569" t="s">
        <v>14</v>
      </c>
      <c r="F569">
        <v>29</v>
      </c>
      <c r="G569" t="s">
        <v>27</v>
      </c>
      <c r="H569">
        <v>3</v>
      </c>
      <c r="I569">
        <v>78</v>
      </c>
      <c r="J569">
        <v>234</v>
      </c>
    </row>
    <row r="570" spans="1:10" x14ac:dyDescent="0.3">
      <c r="A570">
        <v>569</v>
      </c>
      <c r="B570" s="1">
        <v>45495</v>
      </c>
      <c r="C570" t="s">
        <v>588</v>
      </c>
      <c r="D570" t="s">
        <v>3</v>
      </c>
      <c r="E570" t="s">
        <v>19</v>
      </c>
      <c r="F570">
        <v>54</v>
      </c>
      <c r="G570" t="s">
        <v>17</v>
      </c>
      <c r="H570">
        <v>3</v>
      </c>
      <c r="I570">
        <v>372</v>
      </c>
      <c r="J570">
        <v>1116</v>
      </c>
    </row>
    <row r="571" spans="1:10" x14ac:dyDescent="0.3">
      <c r="A571">
        <v>570</v>
      </c>
      <c r="B571" s="1">
        <v>45496</v>
      </c>
      <c r="C571" t="s">
        <v>589</v>
      </c>
      <c r="D571" t="s">
        <v>3</v>
      </c>
      <c r="E571" t="s">
        <v>19</v>
      </c>
      <c r="F571">
        <v>44</v>
      </c>
      <c r="G571" t="s">
        <v>20</v>
      </c>
      <c r="H571">
        <v>5</v>
      </c>
      <c r="I571">
        <v>263</v>
      </c>
      <c r="J571">
        <v>1315</v>
      </c>
    </row>
    <row r="572" spans="1:10" x14ac:dyDescent="0.3">
      <c r="A572">
        <v>571</v>
      </c>
      <c r="B572" s="1">
        <v>45497</v>
      </c>
      <c r="C572" t="s">
        <v>590</v>
      </c>
      <c r="D572" t="s">
        <v>3</v>
      </c>
      <c r="E572" t="s">
        <v>19</v>
      </c>
      <c r="F572">
        <v>53</v>
      </c>
      <c r="G572" t="s">
        <v>23</v>
      </c>
      <c r="H572">
        <v>1</v>
      </c>
      <c r="I572">
        <v>367</v>
      </c>
      <c r="J572">
        <v>367</v>
      </c>
    </row>
    <row r="573" spans="1:10" x14ac:dyDescent="0.3">
      <c r="A573">
        <v>572</v>
      </c>
      <c r="B573" s="1">
        <v>45498</v>
      </c>
      <c r="C573" t="s">
        <v>591</v>
      </c>
      <c r="D573" t="s">
        <v>1</v>
      </c>
      <c r="E573" t="s">
        <v>14</v>
      </c>
      <c r="F573">
        <v>24</v>
      </c>
      <c r="G573" t="s">
        <v>20</v>
      </c>
      <c r="H573">
        <v>4</v>
      </c>
      <c r="I573">
        <v>188</v>
      </c>
      <c r="J573">
        <v>752</v>
      </c>
    </row>
    <row r="574" spans="1:10" x14ac:dyDescent="0.3">
      <c r="A574">
        <v>573</v>
      </c>
      <c r="B574" s="1">
        <v>45499</v>
      </c>
      <c r="C574" t="s">
        <v>592</v>
      </c>
      <c r="D574" t="s">
        <v>2</v>
      </c>
      <c r="E574" t="s">
        <v>14</v>
      </c>
      <c r="F574">
        <v>32</v>
      </c>
      <c r="G574" t="s">
        <v>15</v>
      </c>
      <c r="H574">
        <v>1</v>
      </c>
      <c r="I574">
        <v>32</v>
      </c>
      <c r="J574">
        <v>32</v>
      </c>
    </row>
    <row r="575" spans="1:10" x14ac:dyDescent="0.3">
      <c r="A575">
        <v>574</v>
      </c>
      <c r="B575" s="1">
        <v>45500</v>
      </c>
      <c r="C575" t="s">
        <v>593</v>
      </c>
      <c r="D575" t="s">
        <v>2</v>
      </c>
      <c r="E575" t="s">
        <v>19</v>
      </c>
      <c r="F575">
        <v>53</v>
      </c>
      <c r="G575" t="s">
        <v>20</v>
      </c>
      <c r="H575">
        <v>3</v>
      </c>
      <c r="I575">
        <v>27</v>
      </c>
      <c r="J575">
        <v>81</v>
      </c>
    </row>
    <row r="576" spans="1:10" x14ac:dyDescent="0.3">
      <c r="A576">
        <v>575</v>
      </c>
      <c r="B576" s="1">
        <v>45501</v>
      </c>
      <c r="C576" t="s">
        <v>594</v>
      </c>
      <c r="D576" t="s">
        <v>1</v>
      </c>
      <c r="E576" t="s">
        <v>19</v>
      </c>
      <c r="F576">
        <v>39</v>
      </c>
      <c r="G576" t="s">
        <v>27</v>
      </c>
      <c r="H576">
        <v>2</v>
      </c>
      <c r="I576">
        <v>188</v>
      </c>
      <c r="J576">
        <v>376</v>
      </c>
    </row>
    <row r="577" spans="1:10" x14ac:dyDescent="0.3">
      <c r="A577">
        <v>576</v>
      </c>
      <c r="B577" s="1">
        <v>45502</v>
      </c>
      <c r="C577" t="s">
        <v>595</v>
      </c>
      <c r="D577" t="s">
        <v>4</v>
      </c>
      <c r="E577" t="s">
        <v>14</v>
      </c>
      <c r="F577">
        <v>40</v>
      </c>
      <c r="G577" t="s">
        <v>23</v>
      </c>
      <c r="H577">
        <v>3</v>
      </c>
      <c r="I577">
        <v>442</v>
      </c>
      <c r="J577">
        <v>1326</v>
      </c>
    </row>
    <row r="578" spans="1:10" x14ac:dyDescent="0.3">
      <c r="A578">
        <v>577</v>
      </c>
      <c r="B578" s="1">
        <v>45503</v>
      </c>
      <c r="C578" t="s">
        <v>596</v>
      </c>
      <c r="D578" t="s">
        <v>2</v>
      </c>
      <c r="E578" t="s">
        <v>14</v>
      </c>
      <c r="F578">
        <v>55</v>
      </c>
      <c r="G578" t="s">
        <v>20</v>
      </c>
      <c r="H578">
        <v>4</v>
      </c>
      <c r="I578">
        <v>105</v>
      </c>
      <c r="J578">
        <v>420</v>
      </c>
    </row>
    <row r="579" spans="1:10" x14ac:dyDescent="0.3">
      <c r="A579">
        <v>578</v>
      </c>
      <c r="B579" s="1">
        <v>45504</v>
      </c>
      <c r="C579" t="s">
        <v>597</v>
      </c>
      <c r="D579" t="s">
        <v>4</v>
      </c>
      <c r="E579" t="s">
        <v>14</v>
      </c>
      <c r="F579">
        <v>40</v>
      </c>
      <c r="G579" t="s">
        <v>15</v>
      </c>
      <c r="H579">
        <v>5</v>
      </c>
      <c r="I579">
        <v>335</v>
      </c>
      <c r="J579">
        <v>1675</v>
      </c>
    </row>
    <row r="580" spans="1:10" x14ac:dyDescent="0.3">
      <c r="A580">
        <v>579</v>
      </c>
      <c r="B580" s="1">
        <v>45505</v>
      </c>
      <c r="C580" t="s">
        <v>598</v>
      </c>
      <c r="D580" t="s">
        <v>2</v>
      </c>
      <c r="E580" t="s">
        <v>19</v>
      </c>
      <c r="F580">
        <v>29</v>
      </c>
      <c r="G580" t="s">
        <v>15</v>
      </c>
      <c r="H580">
        <v>4</v>
      </c>
      <c r="I580">
        <v>257</v>
      </c>
      <c r="J580">
        <v>1028</v>
      </c>
    </row>
    <row r="581" spans="1:10" x14ac:dyDescent="0.3">
      <c r="A581">
        <v>580</v>
      </c>
      <c r="B581" s="1">
        <v>45506</v>
      </c>
      <c r="C581" t="s">
        <v>599</v>
      </c>
      <c r="D581" t="s">
        <v>4</v>
      </c>
      <c r="E581" t="s">
        <v>14</v>
      </c>
      <c r="F581">
        <v>18</v>
      </c>
      <c r="G581" t="s">
        <v>23</v>
      </c>
      <c r="H581">
        <v>2</v>
      </c>
      <c r="I581">
        <v>230</v>
      </c>
      <c r="J581">
        <v>460</v>
      </c>
    </row>
    <row r="582" spans="1:10" x14ac:dyDescent="0.3">
      <c r="A582">
        <v>581</v>
      </c>
      <c r="B582" s="1">
        <v>45507</v>
      </c>
      <c r="C582" t="s">
        <v>600</v>
      </c>
      <c r="D582" t="s">
        <v>1</v>
      </c>
      <c r="E582" t="s">
        <v>19</v>
      </c>
      <c r="F582">
        <v>60</v>
      </c>
      <c r="G582" t="s">
        <v>15</v>
      </c>
      <c r="H582">
        <v>3</v>
      </c>
      <c r="I582">
        <v>279</v>
      </c>
      <c r="J582">
        <v>837</v>
      </c>
    </row>
    <row r="583" spans="1:10" x14ac:dyDescent="0.3">
      <c r="A583">
        <v>582</v>
      </c>
      <c r="B583" s="1">
        <v>45508</v>
      </c>
      <c r="C583" t="s">
        <v>601</v>
      </c>
      <c r="D583" t="s">
        <v>3</v>
      </c>
      <c r="E583" t="s">
        <v>14</v>
      </c>
      <c r="F583">
        <v>26</v>
      </c>
      <c r="G583" t="s">
        <v>27</v>
      </c>
      <c r="H583">
        <v>5</v>
      </c>
      <c r="I583">
        <v>367</v>
      </c>
      <c r="J583">
        <v>1835</v>
      </c>
    </row>
    <row r="584" spans="1:10" x14ac:dyDescent="0.3">
      <c r="A584">
        <v>583</v>
      </c>
      <c r="B584" s="1">
        <v>45509</v>
      </c>
      <c r="C584" t="s">
        <v>602</v>
      </c>
      <c r="D584" t="s">
        <v>4</v>
      </c>
      <c r="E584" t="s">
        <v>14</v>
      </c>
      <c r="F584">
        <v>58</v>
      </c>
      <c r="G584" t="s">
        <v>15</v>
      </c>
      <c r="H584">
        <v>1</v>
      </c>
      <c r="I584">
        <v>241</v>
      </c>
      <c r="J584">
        <v>241</v>
      </c>
    </row>
    <row r="585" spans="1:10" x14ac:dyDescent="0.3">
      <c r="A585">
        <v>584</v>
      </c>
      <c r="B585" s="1">
        <v>45510</v>
      </c>
      <c r="C585" t="s">
        <v>603</v>
      </c>
      <c r="D585" t="s">
        <v>3</v>
      </c>
      <c r="E585" t="s">
        <v>14</v>
      </c>
      <c r="F585">
        <v>49</v>
      </c>
      <c r="G585" t="s">
        <v>23</v>
      </c>
      <c r="H585">
        <v>1</v>
      </c>
      <c r="I585">
        <v>155</v>
      </c>
      <c r="J585">
        <v>155</v>
      </c>
    </row>
    <row r="586" spans="1:10" x14ac:dyDescent="0.3">
      <c r="A586">
        <v>585</v>
      </c>
      <c r="B586" s="1">
        <v>45511</v>
      </c>
      <c r="C586" t="s">
        <v>604</v>
      </c>
      <c r="D586" t="s">
        <v>4</v>
      </c>
      <c r="E586" t="s">
        <v>19</v>
      </c>
      <c r="F586">
        <v>24</v>
      </c>
      <c r="G586" t="s">
        <v>17</v>
      </c>
      <c r="H586">
        <v>4</v>
      </c>
      <c r="I586">
        <v>184</v>
      </c>
      <c r="J586">
        <v>736</v>
      </c>
    </row>
    <row r="587" spans="1:10" x14ac:dyDescent="0.3">
      <c r="A587">
        <v>586</v>
      </c>
      <c r="B587" s="1">
        <v>45512</v>
      </c>
      <c r="C587" t="s">
        <v>605</v>
      </c>
      <c r="D587" t="s">
        <v>4</v>
      </c>
      <c r="E587" t="s">
        <v>14</v>
      </c>
      <c r="F587">
        <v>60</v>
      </c>
      <c r="G587" t="s">
        <v>15</v>
      </c>
      <c r="H587">
        <v>5</v>
      </c>
      <c r="I587">
        <v>325</v>
      </c>
      <c r="J587">
        <v>1625</v>
      </c>
    </row>
    <row r="588" spans="1:10" x14ac:dyDescent="0.3">
      <c r="A588">
        <v>587</v>
      </c>
      <c r="B588" s="1">
        <v>45513</v>
      </c>
      <c r="C588" t="s">
        <v>606</v>
      </c>
      <c r="D588" t="s">
        <v>4</v>
      </c>
      <c r="E588" t="s">
        <v>19</v>
      </c>
      <c r="F588">
        <v>32</v>
      </c>
      <c r="G588" t="s">
        <v>27</v>
      </c>
      <c r="H588">
        <v>3</v>
      </c>
      <c r="I588">
        <v>455</v>
      </c>
      <c r="J588">
        <v>1365</v>
      </c>
    </row>
    <row r="589" spans="1:10" x14ac:dyDescent="0.3">
      <c r="A589">
        <v>588</v>
      </c>
      <c r="B589" s="1">
        <v>45514</v>
      </c>
      <c r="C589" t="s">
        <v>607</v>
      </c>
      <c r="D589" t="s">
        <v>4</v>
      </c>
      <c r="E589" t="s">
        <v>14</v>
      </c>
      <c r="F589">
        <v>35</v>
      </c>
      <c r="G589" t="s">
        <v>15</v>
      </c>
      <c r="H589">
        <v>1</v>
      </c>
      <c r="I589">
        <v>413</v>
      </c>
      <c r="J589">
        <v>413</v>
      </c>
    </row>
    <row r="590" spans="1:10" x14ac:dyDescent="0.3">
      <c r="A590">
        <v>589</v>
      </c>
      <c r="B590" s="1">
        <v>45515</v>
      </c>
      <c r="C590" t="s">
        <v>608</v>
      </c>
      <c r="D590" t="s">
        <v>4</v>
      </c>
      <c r="E590" t="s">
        <v>14</v>
      </c>
      <c r="F590">
        <v>19</v>
      </c>
      <c r="G590" t="s">
        <v>23</v>
      </c>
      <c r="H590">
        <v>3</v>
      </c>
      <c r="I590">
        <v>26</v>
      </c>
      <c r="J590">
        <v>78</v>
      </c>
    </row>
    <row r="591" spans="1:10" x14ac:dyDescent="0.3">
      <c r="A591">
        <v>590</v>
      </c>
      <c r="B591" s="1">
        <v>45516</v>
      </c>
      <c r="C591" t="s">
        <v>609</v>
      </c>
      <c r="D591" t="s">
        <v>3</v>
      </c>
      <c r="E591" t="s">
        <v>19</v>
      </c>
      <c r="F591">
        <v>45</v>
      </c>
      <c r="G591" t="s">
        <v>20</v>
      </c>
      <c r="H591">
        <v>3</v>
      </c>
      <c r="I591">
        <v>259</v>
      </c>
      <c r="J591">
        <v>777</v>
      </c>
    </row>
    <row r="592" spans="1:10" x14ac:dyDescent="0.3">
      <c r="A592">
        <v>591</v>
      </c>
      <c r="B592" s="1">
        <v>45517</v>
      </c>
      <c r="C592" t="s">
        <v>610</v>
      </c>
      <c r="D592" t="s">
        <v>4</v>
      </c>
      <c r="E592" t="s">
        <v>14</v>
      </c>
      <c r="F592">
        <v>41</v>
      </c>
      <c r="G592" t="s">
        <v>27</v>
      </c>
      <c r="H592">
        <v>3</v>
      </c>
      <c r="I592">
        <v>350</v>
      </c>
      <c r="J592">
        <v>1050</v>
      </c>
    </row>
    <row r="593" spans="1:10" x14ac:dyDescent="0.3">
      <c r="A593">
        <v>592</v>
      </c>
      <c r="B593" s="1">
        <v>45518</v>
      </c>
      <c r="C593" t="s">
        <v>611</v>
      </c>
      <c r="D593" t="s">
        <v>3</v>
      </c>
      <c r="E593" t="s">
        <v>14</v>
      </c>
      <c r="F593">
        <v>27</v>
      </c>
      <c r="G593" t="s">
        <v>17</v>
      </c>
      <c r="H593">
        <v>4</v>
      </c>
      <c r="I593">
        <v>92</v>
      </c>
      <c r="J593">
        <v>368</v>
      </c>
    </row>
    <row r="594" spans="1:10" x14ac:dyDescent="0.3">
      <c r="A594">
        <v>593</v>
      </c>
      <c r="B594" s="1">
        <v>45519</v>
      </c>
      <c r="C594" t="s">
        <v>612</v>
      </c>
      <c r="D594" t="s">
        <v>1</v>
      </c>
      <c r="E594" t="s">
        <v>14</v>
      </c>
      <c r="F594">
        <v>53</v>
      </c>
      <c r="G594" t="s">
        <v>20</v>
      </c>
      <c r="H594">
        <v>3</v>
      </c>
      <c r="I594">
        <v>232</v>
      </c>
      <c r="J594">
        <v>696</v>
      </c>
    </row>
    <row r="595" spans="1:10" x14ac:dyDescent="0.3">
      <c r="A595">
        <v>594</v>
      </c>
      <c r="B595" s="1">
        <v>45520</v>
      </c>
      <c r="C595" t="s">
        <v>613</v>
      </c>
      <c r="D595" t="s">
        <v>2</v>
      </c>
      <c r="E595" t="s">
        <v>19</v>
      </c>
      <c r="F595">
        <v>41</v>
      </c>
      <c r="G595" t="s">
        <v>15</v>
      </c>
      <c r="H595">
        <v>4</v>
      </c>
      <c r="I595">
        <v>300</v>
      </c>
      <c r="J595">
        <v>1200</v>
      </c>
    </row>
    <row r="596" spans="1:10" x14ac:dyDescent="0.3">
      <c r="A596">
        <v>595</v>
      </c>
      <c r="B596" s="1">
        <v>45521</v>
      </c>
      <c r="C596" t="s">
        <v>614</v>
      </c>
      <c r="D596" t="s">
        <v>4</v>
      </c>
      <c r="E596" t="s">
        <v>14</v>
      </c>
      <c r="F596">
        <v>30</v>
      </c>
      <c r="G596" t="s">
        <v>27</v>
      </c>
      <c r="H596">
        <v>2</v>
      </c>
      <c r="I596">
        <v>488</v>
      </c>
      <c r="J596">
        <v>976</v>
      </c>
    </row>
    <row r="597" spans="1:10" x14ac:dyDescent="0.3">
      <c r="A597">
        <v>596</v>
      </c>
      <c r="B597" s="1">
        <v>45522</v>
      </c>
      <c r="C597" t="s">
        <v>615</v>
      </c>
      <c r="D597" t="s">
        <v>2</v>
      </c>
      <c r="E597" t="s">
        <v>19</v>
      </c>
      <c r="F597">
        <v>24</v>
      </c>
      <c r="G597" t="s">
        <v>27</v>
      </c>
      <c r="H597">
        <v>3</v>
      </c>
      <c r="I597">
        <v>232</v>
      </c>
      <c r="J597">
        <v>696</v>
      </c>
    </row>
    <row r="598" spans="1:10" x14ac:dyDescent="0.3">
      <c r="A598">
        <v>597</v>
      </c>
      <c r="B598" s="1">
        <v>45523</v>
      </c>
      <c r="C598" t="s">
        <v>616</v>
      </c>
      <c r="D598" t="s">
        <v>3</v>
      </c>
      <c r="E598" t="s">
        <v>14</v>
      </c>
      <c r="F598">
        <v>57</v>
      </c>
      <c r="G598" t="s">
        <v>17</v>
      </c>
      <c r="H598">
        <v>3</v>
      </c>
      <c r="I598">
        <v>186</v>
      </c>
      <c r="J598">
        <v>558</v>
      </c>
    </row>
    <row r="599" spans="1:10" x14ac:dyDescent="0.3">
      <c r="A599">
        <v>598</v>
      </c>
      <c r="B599" s="1">
        <v>45524</v>
      </c>
      <c r="C599" t="s">
        <v>617</v>
      </c>
      <c r="D599" t="s">
        <v>1</v>
      </c>
      <c r="E599" t="s">
        <v>19</v>
      </c>
      <c r="F599">
        <v>49</v>
      </c>
      <c r="G599" t="s">
        <v>23</v>
      </c>
      <c r="H599">
        <v>4</v>
      </c>
      <c r="I599">
        <v>50</v>
      </c>
      <c r="J599">
        <v>200</v>
      </c>
    </row>
    <row r="600" spans="1:10" x14ac:dyDescent="0.3">
      <c r="A600">
        <v>599</v>
      </c>
      <c r="B600" s="1">
        <v>45525</v>
      </c>
      <c r="C600" t="s">
        <v>618</v>
      </c>
      <c r="D600" t="s">
        <v>1</v>
      </c>
      <c r="E600" t="s">
        <v>19</v>
      </c>
      <c r="F600">
        <v>47</v>
      </c>
      <c r="G600" t="s">
        <v>23</v>
      </c>
      <c r="H600">
        <v>3</v>
      </c>
      <c r="I600">
        <v>32</v>
      </c>
      <c r="J600">
        <v>96</v>
      </c>
    </row>
    <row r="601" spans="1:10" x14ac:dyDescent="0.3">
      <c r="A601">
        <v>600</v>
      </c>
      <c r="B601" s="1">
        <v>45526</v>
      </c>
      <c r="C601" t="s">
        <v>619</v>
      </c>
      <c r="D601" t="s">
        <v>1</v>
      </c>
      <c r="E601" t="s">
        <v>19</v>
      </c>
      <c r="F601">
        <v>18</v>
      </c>
      <c r="G601" t="s">
        <v>27</v>
      </c>
      <c r="H601">
        <v>3</v>
      </c>
      <c r="I601">
        <v>361</v>
      </c>
      <c r="J601">
        <v>1083</v>
      </c>
    </row>
    <row r="602" spans="1:10" x14ac:dyDescent="0.3">
      <c r="A602">
        <v>601</v>
      </c>
      <c r="B602" s="1">
        <v>45527</v>
      </c>
      <c r="C602" t="s">
        <v>620</v>
      </c>
      <c r="D602" t="s">
        <v>2</v>
      </c>
      <c r="E602" t="s">
        <v>14</v>
      </c>
      <c r="F602">
        <v>32</v>
      </c>
      <c r="G602" t="s">
        <v>23</v>
      </c>
      <c r="H602">
        <v>4</v>
      </c>
      <c r="I602">
        <v>420</v>
      </c>
      <c r="J602">
        <v>1680</v>
      </c>
    </row>
    <row r="603" spans="1:10" x14ac:dyDescent="0.3">
      <c r="A603">
        <v>602</v>
      </c>
      <c r="B603" s="1">
        <v>45528</v>
      </c>
      <c r="C603" t="s">
        <v>621</v>
      </c>
      <c r="D603" t="s">
        <v>3</v>
      </c>
      <c r="E603" t="s">
        <v>19</v>
      </c>
      <c r="F603">
        <v>54</v>
      </c>
      <c r="G603" t="s">
        <v>27</v>
      </c>
      <c r="H603">
        <v>3</v>
      </c>
      <c r="I603">
        <v>382</v>
      </c>
      <c r="J603">
        <v>1146</v>
      </c>
    </row>
    <row r="604" spans="1:10" x14ac:dyDescent="0.3">
      <c r="A604">
        <v>603</v>
      </c>
      <c r="B604" s="1">
        <v>45529</v>
      </c>
      <c r="C604" t="s">
        <v>622</v>
      </c>
      <c r="D604" t="s">
        <v>4</v>
      </c>
      <c r="E604" t="s">
        <v>19</v>
      </c>
      <c r="F604">
        <v>35</v>
      </c>
      <c r="G604" t="s">
        <v>15</v>
      </c>
      <c r="H604">
        <v>5</v>
      </c>
      <c r="I604">
        <v>103</v>
      </c>
      <c r="J604">
        <v>515</v>
      </c>
    </row>
    <row r="605" spans="1:10" x14ac:dyDescent="0.3">
      <c r="A605">
        <v>604</v>
      </c>
      <c r="B605" s="1">
        <v>45530</v>
      </c>
      <c r="C605" t="s">
        <v>623</v>
      </c>
      <c r="D605" t="s">
        <v>4</v>
      </c>
      <c r="E605" t="s">
        <v>19</v>
      </c>
      <c r="F605">
        <v>25</v>
      </c>
      <c r="G605" t="s">
        <v>15</v>
      </c>
      <c r="H605">
        <v>5</v>
      </c>
      <c r="I605">
        <v>158</v>
      </c>
      <c r="J605">
        <v>790</v>
      </c>
    </row>
    <row r="606" spans="1:10" x14ac:dyDescent="0.3">
      <c r="A606">
        <v>605</v>
      </c>
      <c r="B606" s="1">
        <v>45531</v>
      </c>
      <c r="C606" t="s">
        <v>624</v>
      </c>
      <c r="D606" t="s">
        <v>3</v>
      </c>
      <c r="E606" t="s">
        <v>14</v>
      </c>
      <c r="F606">
        <v>56</v>
      </c>
      <c r="G606" t="s">
        <v>15</v>
      </c>
      <c r="H606">
        <v>4</v>
      </c>
      <c r="I606">
        <v>209</v>
      </c>
      <c r="J606">
        <v>836</v>
      </c>
    </row>
    <row r="607" spans="1:10" x14ac:dyDescent="0.3">
      <c r="A607">
        <v>606</v>
      </c>
      <c r="B607" s="1">
        <v>45532</v>
      </c>
      <c r="C607" t="s">
        <v>625</v>
      </c>
      <c r="D607" t="s">
        <v>2</v>
      </c>
      <c r="E607" t="s">
        <v>19</v>
      </c>
      <c r="F607">
        <v>45</v>
      </c>
      <c r="G607" t="s">
        <v>23</v>
      </c>
      <c r="H607">
        <v>1</v>
      </c>
      <c r="I607">
        <v>384</v>
      </c>
      <c r="J607">
        <v>384</v>
      </c>
    </row>
    <row r="608" spans="1:10" x14ac:dyDescent="0.3">
      <c r="A608">
        <v>607</v>
      </c>
      <c r="B608" s="1">
        <v>45533</v>
      </c>
      <c r="C608" t="s">
        <v>626</v>
      </c>
      <c r="D608" t="s">
        <v>4</v>
      </c>
      <c r="E608" t="s">
        <v>14</v>
      </c>
      <c r="F608">
        <v>28</v>
      </c>
      <c r="G608" t="s">
        <v>20</v>
      </c>
      <c r="H608">
        <v>2</v>
      </c>
      <c r="I608">
        <v>430</v>
      </c>
      <c r="J608">
        <v>860</v>
      </c>
    </row>
    <row r="609" spans="1:10" x14ac:dyDescent="0.3">
      <c r="A609">
        <v>608</v>
      </c>
      <c r="B609" s="1">
        <v>45534</v>
      </c>
      <c r="C609" t="s">
        <v>627</v>
      </c>
      <c r="D609" t="s">
        <v>3</v>
      </c>
      <c r="E609" t="s">
        <v>19</v>
      </c>
      <c r="F609">
        <v>49</v>
      </c>
      <c r="G609" t="s">
        <v>15</v>
      </c>
      <c r="H609">
        <v>4</v>
      </c>
      <c r="I609">
        <v>283</v>
      </c>
      <c r="J609">
        <v>1132</v>
      </c>
    </row>
    <row r="610" spans="1:10" x14ac:dyDescent="0.3">
      <c r="A610">
        <v>609</v>
      </c>
      <c r="B610" s="1">
        <v>45535</v>
      </c>
      <c r="C610" t="s">
        <v>628</v>
      </c>
      <c r="D610" t="s">
        <v>4</v>
      </c>
      <c r="E610" t="s">
        <v>19</v>
      </c>
      <c r="F610">
        <v>58</v>
      </c>
      <c r="G610" t="s">
        <v>17</v>
      </c>
      <c r="H610">
        <v>4</v>
      </c>
      <c r="I610">
        <v>188</v>
      </c>
      <c r="J610">
        <v>752</v>
      </c>
    </row>
    <row r="611" spans="1:10" x14ac:dyDescent="0.3">
      <c r="A611">
        <v>610</v>
      </c>
      <c r="B611" s="1">
        <v>45536</v>
      </c>
      <c r="C611" t="s">
        <v>629</v>
      </c>
      <c r="D611" t="s">
        <v>1</v>
      </c>
      <c r="E611" t="s">
        <v>19</v>
      </c>
      <c r="F611">
        <v>42</v>
      </c>
      <c r="G611" t="s">
        <v>27</v>
      </c>
      <c r="H611">
        <v>4</v>
      </c>
      <c r="I611">
        <v>362</v>
      </c>
      <c r="J611">
        <v>1448</v>
      </c>
    </row>
    <row r="612" spans="1:10" x14ac:dyDescent="0.3">
      <c r="A612">
        <v>611</v>
      </c>
      <c r="B612" s="1">
        <v>45537</v>
      </c>
      <c r="C612" t="s">
        <v>630</v>
      </c>
      <c r="D612" t="s">
        <v>4</v>
      </c>
      <c r="E612" t="s">
        <v>19</v>
      </c>
      <c r="F612">
        <v>41</v>
      </c>
      <c r="G612" t="s">
        <v>17</v>
      </c>
      <c r="H612">
        <v>4</v>
      </c>
      <c r="I612">
        <v>105</v>
      </c>
      <c r="J612">
        <v>420</v>
      </c>
    </row>
    <row r="613" spans="1:10" x14ac:dyDescent="0.3">
      <c r="A613">
        <v>612</v>
      </c>
      <c r="B613" s="1">
        <v>45538</v>
      </c>
      <c r="C613" t="s">
        <v>631</v>
      </c>
      <c r="D613" t="s">
        <v>2</v>
      </c>
      <c r="E613" t="s">
        <v>19</v>
      </c>
      <c r="F613">
        <v>27</v>
      </c>
      <c r="G613" t="s">
        <v>27</v>
      </c>
      <c r="H613">
        <v>5</v>
      </c>
      <c r="I613">
        <v>225</v>
      </c>
      <c r="J613">
        <v>1125</v>
      </c>
    </row>
    <row r="614" spans="1:10" x14ac:dyDescent="0.3">
      <c r="A614">
        <v>613</v>
      </c>
      <c r="B614" s="1">
        <v>45539</v>
      </c>
      <c r="C614" t="s">
        <v>632</v>
      </c>
      <c r="D614" t="s">
        <v>3</v>
      </c>
      <c r="E614" t="s">
        <v>19</v>
      </c>
      <c r="F614">
        <v>24</v>
      </c>
      <c r="G614" t="s">
        <v>17</v>
      </c>
      <c r="H614">
        <v>4</v>
      </c>
      <c r="I614">
        <v>410</v>
      </c>
      <c r="J614">
        <v>1640</v>
      </c>
    </row>
    <row r="615" spans="1:10" x14ac:dyDescent="0.3">
      <c r="A615">
        <v>614</v>
      </c>
      <c r="B615" s="1">
        <v>45540</v>
      </c>
      <c r="C615" t="s">
        <v>633</v>
      </c>
      <c r="D615" t="s">
        <v>2</v>
      </c>
      <c r="E615" t="s">
        <v>14</v>
      </c>
      <c r="F615">
        <v>39</v>
      </c>
      <c r="G615" t="s">
        <v>27</v>
      </c>
      <c r="H615">
        <v>4</v>
      </c>
      <c r="I615">
        <v>490</v>
      </c>
      <c r="J615">
        <v>1960</v>
      </c>
    </row>
    <row r="616" spans="1:10" x14ac:dyDescent="0.3">
      <c r="A616">
        <v>615</v>
      </c>
      <c r="B616" s="1">
        <v>45541</v>
      </c>
      <c r="C616" t="s">
        <v>634</v>
      </c>
      <c r="D616" t="s">
        <v>3</v>
      </c>
      <c r="E616" t="s">
        <v>14</v>
      </c>
      <c r="F616">
        <v>34</v>
      </c>
      <c r="G616" t="s">
        <v>17</v>
      </c>
      <c r="H616">
        <v>3</v>
      </c>
      <c r="I616">
        <v>103</v>
      </c>
      <c r="J616">
        <v>309</v>
      </c>
    </row>
    <row r="617" spans="1:10" x14ac:dyDescent="0.3">
      <c r="A617">
        <v>616</v>
      </c>
      <c r="B617" s="1">
        <v>45542</v>
      </c>
      <c r="C617" t="s">
        <v>635</v>
      </c>
      <c r="D617" t="s">
        <v>1</v>
      </c>
      <c r="E617" t="s">
        <v>19</v>
      </c>
      <c r="F617">
        <v>37</v>
      </c>
      <c r="G617" t="s">
        <v>15</v>
      </c>
      <c r="H617">
        <v>4</v>
      </c>
      <c r="I617">
        <v>70</v>
      </c>
      <c r="J617">
        <v>280</v>
      </c>
    </row>
    <row r="618" spans="1:10" x14ac:dyDescent="0.3">
      <c r="A618">
        <v>617</v>
      </c>
      <c r="B618" s="1">
        <v>45543</v>
      </c>
      <c r="C618" t="s">
        <v>636</v>
      </c>
      <c r="D618" t="s">
        <v>3</v>
      </c>
      <c r="E618" t="s">
        <v>14</v>
      </c>
      <c r="F618">
        <v>51</v>
      </c>
      <c r="G618" t="s">
        <v>27</v>
      </c>
      <c r="H618">
        <v>2</v>
      </c>
      <c r="I618">
        <v>496</v>
      </c>
      <c r="J618">
        <v>992</v>
      </c>
    </row>
    <row r="619" spans="1:10" x14ac:dyDescent="0.3">
      <c r="A619">
        <v>618</v>
      </c>
      <c r="B619" s="1">
        <v>45544</v>
      </c>
      <c r="C619" t="s">
        <v>637</v>
      </c>
      <c r="D619" t="s">
        <v>4</v>
      </c>
      <c r="E619" t="s">
        <v>19</v>
      </c>
      <c r="F619">
        <v>60</v>
      </c>
      <c r="G619" t="s">
        <v>20</v>
      </c>
      <c r="H619">
        <v>3</v>
      </c>
      <c r="I619">
        <v>463</v>
      </c>
      <c r="J619">
        <v>1389</v>
      </c>
    </row>
    <row r="620" spans="1:10" x14ac:dyDescent="0.3">
      <c r="A620">
        <v>619</v>
      </c>
      <c r="B620" s="1">
        <v>45545</v>
      </c>
      <c r="C620" t="s">
        <v>638</v>
      </c>
      <c r="D620" t="s">
        <v>4</v>
      </c>
      <c r="E620" t="s">
        <v>14</v>
      </c>
      <c r="F620">
        <v>19</v>
      </c>
      <c r="G620" t="s">
        <v>20</v>
      </c>
      <c r="H620">
        <v>1</v>
      </c>
      <c r="I620">
        <v>425</v>
      </c>
      <c r="J620">
        <v>425</v>
      </c>
    </row>
    <row r="621" spans="1:10" x14ac:dyDescent="0.3">
      <c r="A621">
        <v>620</v>
      </c>
      <c r="B621" s="1">
        <v>45546</v>
      </c>
      <c r="C621" t="s">
        <v>639</v>
      </c>
      <c r="D621" t="s">
        <v>1</v>
      </c>
      <c r="E621" t="s">
        <v>19</v>
      </c>
      <c r="F621">
        <v>54</v>
      </c>
      <c r="G621" t="s">
        <v>17</v>
      </c>
      <c r="H621">
        <v>5</v>
      </c>
      <c r="I621">
        <v>250</v>
      </c>
      <c r="J621">
        <v>1250</v>
      </c>
    </row>
    <row r="622" spans="1:10" x14ac:dyDescent="0.3">
      <c r="A622">
        <v>621</v>
      </c>
      <c r="B622" s="1">
        <v>45547</v>
      </c>
      <c r="C622" t="s">
        <v>640</v>
      </c>
      <c r="D622" t="s">
        <v>3</v>
      </c>
      <c r="E622" t="s">
        <v>19</v>
      </c>
      <c r="F622">
        <v>21</v>
      </c>
      <c r="G622" t="s">
        <v>15</v>
      </c>
      <c r="H622">
        <v>3</v>
      </c>
      <c r="I622">
        <v>215</v>
      </c>
      <c r="J622">
        <v>645</v>
      </c>
    </row>
    <row r="623" spans="1:10" x14ac:dyDescent="0.3">
      <c r="A623">
        <v>622</v>
      </c>
      <c r="B623" s="1">
        <v>45548</v>
      </c>
      <c r="C623" t="s">
        <v>641</v>
      </c>
      <c r="D623" t="s">
        <v>1</v>
      </c>
      <c r="E623" t="s">
        <v>19</v>
      </c>
      <c r="F623">
        <v>34</v>
      </c>
      <c r="G623" t="s">
        <v>17</v>
      </c>
      <c r="H623">
        <v>1</v>
      </c>
      <c r="I623">
        <v>423</v>
      </c>
      <c r="J623">
        <v>423</v>
      </c>
    </row>
    <row r="624" spans="1:10" x14ac:dyDescent="0.3">
      <c r="A624">
        <v>623</v>
      </c>
      <c r="B624" s="1">
        <v>45549</v>
      </c>
      <c r="C624" t="s">
        <v>642</v>
      </c>
      <c r="D624" t="s">
        <v>4</v>
      </c>
      <c r="E624" t="s">
        <v>14</v>
      </c>
      <c r="F624">
        <v>49</v>
      </c>
      <c r="G624" t="s">
        <v>15</v>
      </c>
      <c r="H624">
        <v>2</v>
      </c>
      <c r="I624">
        <v>114</v>
      </c>
      <c r="J624">
        <v>228</v>
      </c>
    </row>
    <row r="625" spans="1:10" x14ac:dyDescent="0.3">
      <c r="A625">
        <v>624</v>
      </c>
      <c r="B625" s="1">
        <v>45550</v>
      </c>
      <c r="C625" t="s">
        <v>643</v>
      </c>
      <c r="D625" t="s">
        <v>2</v>
      </c>
      <c r="E625" t="s">
        <v>14</v>
      </c>
      <c r="F625">
        <v>44</v>
      </c>
      <c r="G625" t="s">
        <v>15</v>
      </c>
      <c r="H625">
        <v>1</v>
      </c>
      <c r="I625">
        <v>148</v>
      </c>
      <c r="J625">
        <v>148</v>
      </c>
    </row>
    <row r="626" spans="1:10" x14ac:dyDescent="0.3">
      <c r="A626">
        <v>625</v>
      </c>
      <c r="B626" s="1">
        <v>45551</v>
      </c>
      <c r="C626" t="s">
        <v>644</v>
      </c>
      <c r="D626" t="s">
        <v>1</v>
      </c>
      <c r="E626" t="s">
        <v>19</v>
      </c>
      <c r="F626">
        <v>35</v>
      </c>
      <c r="G626" t="s">
        <v>20</v>
      </c>
      <c r="H626">
        <v>3</v>
      </c>
      <c r="I626">
        <v>255</v>
      </c>
      <c r="J626">
        <v>765</v>
      </c>
    </row>
    <row r="627" spans="1:10" x14ac:dyDescent="0.3">
      <c r="A627">
        <v>626</v>
      </c>
      <c r="B627" s="1">
        <v>45552</v>
      </c>
      <c r="C627" t="s">
        <v>645</v>
      </c>
      <c r="D627" t="s">
        <v>2</v>
      </c>
      <c r="E627" t="s">
        <v>14</v>
      </c>
      <c r="F627">
        <v>45</v>
      </c>
      <c r="G627" t="s">
        <v>17</v>
      </c>
      <c r="H627">
        <v>2</v>
      </c>
      <c r="I627">
        <v>214</v>
      </c>
      <c r="J627">
        <v>428</v>
      </c>
    </row>
    <row r="628" spans="1:10" x14ac:dyDescent="0.3">
      <c r="A628">
        <v>627</v>
      </c>
      <c r="B628" s="1">
        <v>45553</v>
      </c>
      <c r="C628" t="s">
        <v>646</v>
      </c>
      <c r="D628" t="s">
        <v>2</v>
      </c>
      <c r="E628" t="s">
        <v>19</v>
      </c>
      <c r="F628">
        <v>34</v>
      </c>
      <c r="G628" t="s">
        <v>27</v>
      </c>
      <c r="H628">
        <v>3</v>
      </c>
      <c r="I628">
        <v>446</v>
      </c>
      <c r="J628">
        <v>1338</v>
      </c>
    </row>
    <row r="629" spans="1:10" x14ac:dyDescent="0.3">
      <c r="A629">
        <v>628</v>
      </c>
      <c r="B629" s="1">
        <v>45554</v>
      </c>
      <c r="C629" t="s">
        <v>647</v>
      </c>
      <c r="D629" t="s">
        <v>3</v>
      </c>
      <c r="E629" t="s">
        <v>14</v>
      </c>
      <c r="F629">
        <v>31</v>
      </c>
      <c r="G629" t="s">
        <v>27</v>
      </c>
      <c r="H629">
        <v>1</v>
      </c>
      <c r="I629">
        <v>388</v>
      </c>
      <c r="J629">
        <v>388</v>
      </c>
    </row>
    <row r="630" spans="1:10" x14ac:dyDescent="0.3">
      <c r="A630">
        <v>629</v>
      </c>
      <c r="B630" s="1">
        <v>45555</v>
      </c>
      <c r="C630" t="s">
        <v>648</v>
      </c>
      <c r="D630" t="s">
        <v>1</v>
      </c>
      <c r="E630" t="s">
        <v>19</v>
      </c>
      <c r="F630">
        <v>22</v>
      </c>
      <c r="G630" t="s">
        <v>15</v>
      </c>
      <c r="H630">
        <v>5</v>
      </c>
      <c r="I630">
        <v>328</v>
      </c>
      <c r="J630">
        <v>1640</v>
      </c>
    </row>
    <row r="631" spans="1:10" x14ac:dyDescent="0.3">
      <c r="A631">
        <v>630</v>
      </c>
      <c r="B631" s="1">
        <v>45556</v>
      </c>
      <c r="C631" t="s">
        <v>649</v>
      </c>
      <c r="D631" t="s">
        <v>2</v>
      </c>
      <c r="E631" t="s">
        <v>14</v>
      </c>
      <c r="F631">
        <v>22</v>
      </c>
      <c r="G631" t="s">
        <v>15</v>
      </c>
      <c r="H631">
        <v>3</v>
      </c>
      <c r="I631">
        <v>41</v>
      </c>
      <c r="J631">
        <v>123</v>
      </c>
    </row>
    <row r="632" spans="1:10" x14ac:dyDescent="0.3">
      <c r="A632">
        <v>631</v>
      </c>
      <c r="B632" s="1">
        <v>45557</v>
      </c>
      <c r="C632" t="s">
        <v>650</v>
      </c>
      <c r="D632" t="s">
        <v>2</v>
      </c>
      <c r="E632" t="s">
        <v>19</v>
      </c>
      <c r="F632">
        <v>23</v>
      </c>
      <c r="G632" t="s">
        <v>15</v>
      </c>
      <c r="H632">
        <v>4</v>
      </c>
      <c r="I632">
        <v>340</v>
      </c>
      <c r="J632">
        <v>1360</v>
      </c>
    </row>
    <row r="633" spans="1:10" x14ac:dyDescent="0.3">
      <c r="A633">
        <v>632</v>
      </c>
      <c r="B633" s="1">
        <v>45558</v>
      </c>
      <c r="C633" t="s">
        <v>651</v>
      </c>
      <c r="D633" t="s">
        <v>3</v>
      </c>
      <c r="E633" t="s">
        <v>19</v>
      </c>
      <c r="F633">
        <v>25</v>
      </c>
      <c r="G633" t="s">
        <v>20</v>
      </c>
      <c r="H633">
        <v>2</v>
      </c>
      <c r="I633">
        <v>99</v>
      </c>
      <c r="J633">
        <v>198</v>
      </c>
    </row>
    <row r="634" spans="1:10" x14ac:dyDescent="0.3">
      <c r="A634">
        <v>633</v>
      </c>
      <c r="B634" s="1">
        <v>45559</v>
      </c>
      <c r="C634" t="s">
        <v>652</v>
      </c>
      <c r="D634" t="s">
        <v>3</v>
      </c>
      <c r="E634" t="s">
        <v>14</v>
      </c>
      <c r="F634">
        <v>42</v>
      </c>
      <c r="G634" t="s">
        <v>27</v>
      </c>
      <c r="H634">
        <v>5</v>
      </c>
      <c r="I634">
        <v>170</v>
      </c>
      <c r="J634">
        <v>850</v>
      </c>
    </row>
    <row r="635" spans="1:10" x14ac:dyDescent="0.3">
      <c r="A635">
        <v>634</v>
      </c>
      <c r="B635" s="1">
        <v>45560</v>
      </c>
      <c r="C635" t="s">
        <v>653</v>
      </c>
      <c r="D635" t="s">
        <v>4</v>
      </c>
      <c r="E635" t="s">
        <v>19</v>
      </c>
      <c r="F635">
        <v>49</v>
      </c>
      <c r="G635" t="s">
        <v>27</v>
      </c>
      <c r="H635">
        <v>3</v>
      </c>
      <c r="I635">
        <v>348</v>
      </c>
      <c r="J635">
        <v>1044</v>
      </c>
    </row>
    <row r="636" spans="1:10" x14ac:dyDescent="0.3">
      <c r="A636">
        <v>635</v>
      </c>
      <c r="B636" s="1">
        <v>45561</v>
      </c>
      <c r="C636" t="s">
        <v>654</v>
      </c>
      <c r="D636" t="s">
        <v>2</v>
      </c>
      <c r="E636" t="s">
        <v>14</v>
      </c>
      <c r="F636">
        <v>43</v>
      </c>
      <c r="G636" t="s">
        <v>27</v>
      </c>
      <c r="H636">
        <v>5</v>
      </c>
      <c r="I636">
        <v>224</v>
      </c>
      <c r="J636">
        <v>1120</v>
      </c>
    </row>
    <row r="637" spans="1:10" x14ac:dyDescent="0.3">
      <c r="A637">
        <v>636</v>
      </c>
      <c r="B637" s="1">
        <v>45562</v>
      </c>
      <c r="C637" t="s">
        <v>655</v>
      </c>
      <c r="D637" t="s">
        <v>4</v>
      </c>
      <c r="E637" t="s">
        <v>14</v>
      </c>
      <c r="F637">
        <v>26</v>
      </c>
      <c r="G637" t="s">
        <v>20</v>
      </c>
      <c r="H637">
        <v>1</v>
      </c>
      <c r="I637">
        <v>28</v>
      </c>
      <c r="J637">
        <v>28</v>
      </c>
    </row>
    <row r="638" spans="1:10" x14ac:dyDescent="0.3">
      <c r="A638">
        <v>637</v>
      </c>
      <c r="B638" s="1">
        <v>45563</v>
      </c>
      <c r="C638" t="s">
        <v>656</v>
      </c>
      <c r="D638" t="s">
        <v>2</v>
      </c>
      <c r="E638" t="s">
        <v>14</v>
      </c>
      <c r="F638">
        <v>43</v>
      </c>
      <c r="G638" t="s">
        <v>15</v>
      </c>
      <c r="H638">
        <v>4</v>
      </c>
      <c r="I638">
        <v>317</v>
      </c>
      <c r="J638">
        <v>1268</v>
      </c>
    </row>
    <row r="639" spans="1:10" x14ac:dyDescent="0.3">
      <c r="A639">
        <v>638</v>
      </c>
      <c r="B639" s="1">
        <v>45564</v>
      </c>
      <c r="C639" t="s">
        <v>657</v>
      </c>
      <c r="D639" t="s">
        <v>4</v>
      </c>
      <c r="E639" t="s">
        <v>19</v>
      </c>
      <c r="F639">
        <v>55</v>
      </c>
      <c r="G639" t="s">
        <v>15</v>
      </c>
      <c r="H639">
        <v>4</v>
      </c>
      <c r="I639">
        <v>238</v>
      </c>
      <c r="J639">
        <v>952</v>
      </c>
    </row>
    <row r="640" spans="1:10" x14ac:dyDescent="0.3">
      <c r="A640">
        <v>639</v>
      </c>
      <c r="B640" s="1">
        <v>45565</v>
      </c>
      <c r="C640" t="s">
        <v>658</v>
      </c>
      <c r="D640" t="s">
        <v>3</v>
      </c>
      <c r="E640" t="s">
        <v>14</v>
      </c>
      <c r="F640">
        <v>37</v>
      </c>
      <c r="G640" t="s">
        <v>15</v>
      </c>
      <c r="H640">
        <v>2</v>
      </c>
      <c r="I640">
        <v>50</v>
      </c>
      <c r="J640">
        <v>100</v>
      </c>
    </row>
    <row r="641" spans="1:10" x14ac:dyDescent="0.3">
      <c r="A641">
        <v>640</v>
      </c>
      <c r="B641" s="1">
        <v>45566</v>
      </c>
      <c r="C641" t="s">
        <v>659</v>
      </c>
      <c r="D641" t="s">
        <v>1</v>
      </c>
      <c r="E641" t="s">
        <v>14</v>
      </c>
      <c r="F641">
        <v>40</v>
      </c>
      <c r="G641" t="s">
        <v>20</v>
      </c>
      <c r="H641">
        <v>5</v>
      </c>
      <c r="I641">
        <v>140</v>
      </c>
      <c r="J641">
        <v>700</v>
      </c>
    </row>
    <row r="642" spans="1:10" x14ac:dyDescent="0.3">
      <c r="A642">
        <v>641</v>
      </c>
      <c r="B642" s="1">
        <v>45567</v>
      </c>
      <c r="C642" t="s">
        <v>660</v>
      </c>
      <c r="D642" t="s">
        <v>3</v>
      </c>
      <c r="E642" t="s">
        <v>19</v>
      </c>
      <c r="F642">
        <v>57</v>
      </c>
      <c r="G642" t="s">
        <v>17</v>
      </c>
      <c r="H642">
        <v>3</v>
      </c>
      <c r="I642">
        <v>64</v>
      </c>
      <c r="J642">
        <v>192</v>
      </c>
    </row>
    <row r="643" spans="1:10" x14ac:dyDescent="0.3">
      <c r="A643">
        <v>642</v>
      </c>
      <c r="B643" s="1">
        <v>45568</v>
      </c>
      <c r="C643" t="s">
        <v>661</v>
      </c>
      <c r="D643" t="s">
        <v>4</v>
      </c>
      <c r="E643" t="s">
        <v>14</v>
      </c>
      <c r="F643">
        <v>58</v>
      </c>
      <c r="G643" t="s">
        <v>17</v>
      </c>
      <c r="H643">
        <v>2</v>
      </c>
      <c r="I643">
        <v>397</v>
      </c>
      <c r="J643">
        <v>794</v>
      </c>
    </row>
    <row r="644" spans="1:10" x14ac:dyDescent="0.3">
      <c r="A644">
        <v>643</v>
      </c>
      <c r="B644" s="1">
        <v>45569</v>
      </c>
      <c r="C644" t="s">
        <v>662</v>
      </c>
      <c r="D644" t="s">
        <v>4</v>
      </c>
      <c r="E644" t="s">
        <v>14</v>
      </c>
      <c r="F644">
        <v>23</v>
      </c>
      <c r="G644" t="s">
        <v>23</v>
      </c>
      <c r="H644">
        <v>2</v>
      </c>
      <c r="I644">
        <v>476</v>
      </c>
      <c r="J644">
        <v>952</v>
      </c>
    </row>
    <row r="645" spans="1:10" x14ac:dyDescent="0.3">
      <c r="A645">
        <v>644</v>
      </c>
      <c r="B645" s="1">
        <v>45570</v>
      </c>
      <c r="C645" t="s">
        <v>663</v>
      </c>
      <c r="D645" t="s">
        <v>1</v>
      </c>
      <c r="E645" t="s">
        <v>19</v>
      </c>
      <c r="F645">
        <v>49</v>
      </c>
      <c r="G645" t="s">
        <v>17</v>
      </c>
      <c r="H645">
        <v>1</v>
      </c>
      <c r="I645">
        <v>108</v>
      </c>
      <c r="J645">
        <v>108</v>
      </c>
    </row>
    <row r="646" spans="1:10" x14ac:dyDescent="0.3">
      <c r="A646">
        <v>645</v>
      </c>
      <c r="B646" s="1">
        <v>45571</v>
      </c>
      <c r="C646" t="s">
        <v>664</v>
      </c>
      <c r="D646" t="s">
        <v>2</v>
      </c>
      <c r="E646" t="s">
        <v>19</v>
      </c>
      <c r="F646">
        <v>49</v>
      </c>
      <c r="G646" t="s">
        <v>17</v>
      </c>
      <c r="H646">
        <v>4</v>
      </c>
      <c r="I646">
        <v>121</v>
      </c>
      <c r="J646">
        <v>484</v>
      </c>
    </row>
    <row r="647" spans="1:10" x14ac:dyDescent="0.3">
      <c r="A647">
        <v>646</v>
      </c>
      <c r="B647" s="1">
        <v>45572</v>
      </c>
      <c r="C647" t="s">
        <v>665</v>
      </c>
      <c r="D647" t="s">
        <v>4</v>
      </c>
      <c r="E647" t="s">
        <v>19</v>
      </c>
      <c r="F647">
        <v>24</v>
      </c>
      <c r="G647" t="s">
        <v>15</v>
      </c>
      <c r="H647">
        <v>5</v>
      </c>
      <c r="I647">
        <v>379</v>
      </c>
      <c r="J647">
        <v>1895</v>
      </c>
    </row>
    <row r="648" spans="1:10" x14ac:dyDescent="0.3">
      <c r="A648">
        <v>647</v>
      </c>
      <c r="B648" s="1">
        <v>45573</v>
      </c>
      <c r="C648" t="s">
        <v>666</v>
      </c>
      <c r="D648" t="s">
        <v>4</v>
      </c>
      <c r="E648" t="s">
        <v>14</v>
      </c>
      <c r="F648">
        <v>28</v>
      </c>
      <c r="G648" t="s">
        <v>23</v>
      </c>
      <c r="H648">
        <v>3</v>
      </c>
      <c r="I648">
        <v>295</v>
      </c>
      <c r="J648">
        <v>885</v>
      </c>
    </row>
    <row r="649" spans="1:10" x14ac:dyDescent="0.3">
      <c r="A649">
        <v>648</v>
      </c>
      <c r="B649" s="1">
        <v>45574</v>
      </c>
      <c r="C649" t="s">
        <v>667</v>
      </c>
      <c r="D649" t="s">
        <v>4</v>
      </c>
      <c r="E649" t="s">
        <v>14</v>
      </c>
      <c r="F649">
        <v>26</v>
      </c>
      <c r="G649" t="s">
        <v>15</v>
      </c>
      <c r="H649">
        <v>2</v>
      </c>
      <c r="I649">
        <v>160</v>
      </c>
      <c r="J649">
        <v>320</v>
      </c>
    </row>
    <row r="650" spans="1:10" x14ac:dyDescent="0.3">
      <c r="A650">
        <v>649</v>
      </c>
      <c r="B650" s="1">
        <v>45575</v>
      </c>
      <c r="C650" t="s">
        <v>668</v>
      </c>
      <c r="D650" t="s">
        <v>1</v>
      </c>
      <c r="E650" t="s">
        <v>14</v>
      </c>
      <c r="F650">
        <v>21</v>
      </c>
      <c r="G650" t="s">
        <v>23</v>
      </c>
      <c r="H650">
        <v>1</v>
      </c>
      <c r="I650">
        <v>25</v>
      </c>
      <c r="J650">
        <v>25</v>
      </c>
    </row>
    <row r="651" spans="1:10" x14ac:dyDescent="0.3">
      <c r="A651">
        <v>650</v>
      </c>
      <c r="B651" s="1">
        <v>45576</v>
      </c>
      <c r="C651" t="s">
        <v>669</v>
      </c>
      <c r="D651" t="s">
        <v>3</v>
      </c>
      <c r="E651" t="s">
        <v>14</v>
      </c>
      <c r="F651">
        <v>34</v>
      </c>
      <c r="G651" t="s">
        <v>27</v>
      </c>
      <c r="H651">
        <v>5</v>
      </c>
      <c r="I651">
        <v>317</v>
      </c>
      <c r="J651">
        <v>1585</v>
      </c>
    </row>
    <row r="652" spans="1:10" x14ac:dyDescent="0.3">
      <c r="A652">
        <v>651</v>
      </c>
      <c r="B652" s="1">
        <v>45577</v>
      </c>
      <c r="C652" t="s">
        <v>670</v>
      </c>
      <c r="D652" t="s">
        <v>4</v>
      </c>
      <c r="E652" t="s">
        <v>14</v>
      </c>
      <c r="F652">
        <v>53</v>
      </c>
      <c r="G652" t="s">
        <v>15</v>
      </c>
      <c r="H652">
        <v>1</v>
      </c>
      <c r="I652">
        <v>244</v>
      </c>
      <c r="J652">
        <v>244</v>
      </c>
    </row>
    <row r="653" spans="1:10" x14ac:dyDescent="0.3">
      <c r="A653">
        <v>652</v>
      </c>
      <c r="B653" s="1">
        <v>45578</v>
      </c>
      <c r="C653" t="s">
        <v>671</v>
      </c>
      <c r="D653" t="s">
        <v>1</v>
      </c>
      <c r="E653" t="s">
        <v>14</v>
      </c>
      <c r="F653">
        <v>37</v>
      </c>
      <c r="G653" t="s">
        <v>15</v>
      </c>
      <c r="H653">
        <v>1</v>
      </c>
      <c r="I653">
        <v>435</v>
      </c>
      <c r="J653">
        <v>435</v>
      </c>
    </row>
    <row r="654" spans="1:10" x14ac:dyDescent="0.3">
      <c r="A654">
        <v>653</v>
      </c>
      <c r="B654" s="1">
        <v>45579</v>
      </c>
      <c r="C654" t="s">
        <v>672</v>
      </c>
      <c r="D654" t="s">
        <v>4</v>
      </c>
      <c r="E654" t="s">
        <v>19</v>
      </c>
      <c r="F654">
        <v>44</v>
      </c>
      <c r="G654" t="s">
        <v>23</v>
      </c>
      <c r="H654">
        <v>2</v>
      </c>
      <c r="I654">
        <v>204</v>
      </c>
      <c r="J654">
        <v>408</v>
      </c>
    </row>
    <row r="655" spans="1:10" x14ac:dyDescent="0.3">
      <c r="A655">
        <v>654</v>
      </c>
      <c r="B655" s="1">
        <v>45580</v>
      </c>
      <c r="C655" t="s">
        <v>673</v>
      </c>
      <c r="D655" t="s">
        <v>2</v>
      </c>
      <c r="E655" t="s">
        <v>19</v>
      </c>
      <c r="F655">
        <v>35</v>
      </c>
      <c r="G655" t="s">
        <v>17</v>
      </c>
      <c r="H655">
        <v>3</v>
      </c>
      <c r="I655">
        <v>434</v>
      </c>
      <c r="J655">
        <v>1302</v>
      </c>
    </row>
    <row r="656" spans="1:10" x14ac:dyDescent="0.3">
      <c r="A656">
        <v>655</v>
      </c>
      <c r="B656" s="1">
        <v>45581</v>
      </c>
      <c r="C656" t="s">
        <v>674</v>
      </c>
      <c r="D656" t="s">
        <v>1</v>
      </c>
      <c r="E656" t="s">
        <v>14</v>
      </c>
      <c r="F656">
        <v>20</v>
      </c>
      <c r="G656" t="s">
        <v>17</v>
      </c>
      <c r="H656">
        <v>1</v>
      </c>
      <c r="I656">
        <v>127</v>
      </c>
      <c r="J656">
        <v>127</v>
      </c>
    </row>
    <row r="657" spans="1:10" x14ac:dyDescent="0.3">
      <c r="A657">
        <v>656</v>
      </c>
      <c r="B657" s="1">
        <v>45582</v>
      </c>
      <c r="C657" t="s">
        <v>675</v>
      </c>
      <c r="D657" t="s">
        <v>4</v>
      </c>
      <c r="E657" t="s">
        <v>14</v>
      </c>
      <c r="F657">
        <v>58</v>
      </c>
      <c r="G657" t="s">
        <v>20</v>
      </c>
      <c r="H657">
        <v>1</v>
      </c>
      <c r="I657">
        <v>371</v>
      </c>
      <c r="J657">
        <v>371</v>
      </c>
    </row>
    <row r="658" spans="1:10" x14ac:dyDescent="0.3">
      <c r="A658">
        <v>657</v>
      </c>
      <c r="B658" s="1">
        <v>45583</v>
      </c>
      <c r="C658" t="s">
        <v>676</v>
      </c>
      <c r="D658" t="s">
        <v>1</v>
      </c>
      <c r="E658" t="s">
        <v>19</v>
      </c>
      <c r="F658">
        <v>39</v>
      </c>
      <c r="G658" t="s">
        <v>23</v>
      </c>
      <c r="H658">
        <v>1</v>
      </c>
      <c r="I658">
        <v>360</v>
      </c>
      <c r="J658">
        <v>360</v>
      </c>
    </row>
    <row r="659" spans="1:10" x14ac:dyDescent="0.3">
      <c r="A659">
        <v>658</v>
      </c>
      <c r="B659" s="1">
        <v>45584</v>
      </c>
      <c r="C659" t="s">
        <v>677</v>
      </c>
      <c r="D659" t="s">
        <v>4</v>
      </c>
      <c r="E659" t="s">
        <v>19</v>
      </c>
      <c r="F659">
        <v>54</v>
      </c>
      <c r="G659" t="s">
        <v>17</v>
      </c>
      <c r="H659">
        <v>1</v>
      </c>
      <c r="I659">
        <v>392</v>
      </c>
      <c r="J659">
        <v>392</v>
      </c>
    </row>
    <row r="660" spans="1:10" x14ac:dyDescent="0.3">
      <c r="A660">
        <v>659</v>
      </c>
      <c r="B660" s="1">
        <v>45585</v>
      </c>
      <c r="C660" t="s">
        <v>678</v>
      </c>
      <c r="D660" t="s">
        <v>3</v>
      </c>
      <c r="E660" t="s">
        <v>19</v>
      </c>
      <c r="F660">
        <v>30</v>
      </c>
      <c r="G660" t="s">
        <v>27</v>
      </c>
      <c r="H660">
        <v>5</v>
      </c>
      <c r="I660">
        <v>366</v>
      </c>
      <c r="J660">
        <v>1830</v>
      </c>
    </row>
    <row r="661" spans="1:10" x14ac:dyDescent="0.3">
      <c r="A661">
        <v>660</v>
      </c>
      <c r="B661" s="1">
        <v>45586</v>
      </c>
      <c r="C661" t="s">
        <v>679</v>
      </c>
      <c r="D661" t="s">
        <v>4</v>
      </c>
      <c r="E661" t="s">
        <v>19</v>
      </c>
      <c r="F661">
        <v>51</v>
      </c>
      <c r="G661" t="s">
        <v>20</v>
      </c>
      <c r="H661">
        <v>5</v>
      </c>
      <c r="I661">
        <v>52</v>
      </c>
      <c r="J661">
        <v>260</v>
      </c>
    </row>
    <row r="662" spans="1:10" x14ac:dyDescent="0.3">
      <c r="A662">
        <v>661</v>
      </c>
      <c r="B662" s="1">
        <v>45587</v>
      </c>
      <c r="C662" t="s">
        <v>680</v>
      </c>
      <c r="D662" t="s">
        <v>1</v>
      </c>
      <c r="E662" t="s">
        <v>14</v>
      </c>
      <c r="F662">
        <v>59</v>
      </c>
      <c r="G662" t="s">
        <v>20</v>
      </c>
      <c r="H662">
        <v>4</v>
      </c>
      <c r="I662">
        <v>80</v>
      </c>
      <c r="J662">
        <v>320</v>
      </c>
    </row>
    <row r="663" spans="1:10" x14ac:dyDescent="0.3">
      <c r="A663">
        <v>662</v>
      </c>
      <c r="B663" s="1">
        <v>45588</v>
      </c>
      <c r="C663" t="s">
        <v>681</v>
      </c>
      <c r="D663" t="s">
        <v>2</v>
      </c>
      <c r="E663" t="s">
        <v>14</v>
      </c>
      <c r="F663">
        <v>50</v>
      </c>
      <c r="G663" t="s">
        <v>17</v>
      </c>
      <c r="H663">
        <v>3</v>
      </c>
      <c r="I663">
        <v>127</v>
      </c>
      <c r="J663">
        <v>381</v>
      </c>
    </row>
    <row r="664" spans="1:10" x14ac:dyDescent="0.3">
      <c r="A664">
        <v>663</v>
      </c>
      <c r="B664" s="1">
        <v>45589</v>
      </c>
      <c r="C664" t="s">
        <v>682</v>
      </c>
      <c r="D664" t="s">
        <v>2</v>
      </c>
      <c r="E664" t="s">
        <v>14</v>
      </c>
      <c r="F664">
        <v>33</v>
      </c>
      <c r="G664" t="s">
        <v>27</v>
      </c>
      <c r="H664">
        <v>1</v>
      </c>
      <c r="I664">
        <v>312</v>
      </c>
      <c r="J664">
        <v>312</v>
      </c>
    </row>
    <row r="665" spans="1:10" x14ac:dyDescent="0.3">
      <c r="A665">
        <v>664</v>
      </c>
      <c r="B665" s="1">
        <v>45590</v>
      </c>
      <c r="C665" t="s">
        <v>683</v>
      </c>
      <c r="D665" t="s">
        <v>2</v>
      </c>
      <c r="E665" t="s">
        <v>14</v>
      </c>
      <c r="F665">
        <v>39</v>
      </c>
      <c r="G665" t="s">
        <v>17</v>
      </c>
      <c r="H665">
        <v>4</v>
      </c>
      <c r="I665">
        <v>304</v>
      </c>
      <c r="J665">
        <v>1216</v>
      </c>
    </row>
    <row r="666" spans="1:10" x14ac:dyDescent="0.3">
      <c r="A666">
        <v>665</v>
      </c>
      <c r="B666" s="1">
        <v>45591</v>
      </c>
      <c r="C666" t="s">
        <v>684</v>
      </c>
      <c r="D666" t="s">
        <v>4</v>
      </c>
      <c r="E666" t="s">
        <v>19</v>
      </c>
      <c r="F666">
        <v>49</v>
      </c>
      <c r="G666" t="s">
        <v>15</v>
      </c>
      <c r="H666">
        <v>5</v>
      </c>
      <c r="I666">
        <v>417</v>
      </c>
      <c r="J666">
        <v>2085</v>
      </c>
    </row>
    <row r="667" spans="1:10" x14ac:dyDescent="0.3">
      <c r="A667">
        <v>666</v>
      </c>
      <c r="B667" s="1">
        <v>45592</v>
      </c>
      <c r="C667" t="s">
        <v>685</v>
      </c>
      <c r="D667" t="s">
        <v>3</v>
      </c>
      <c r="E667" t="s">
        <v>19</v>
      </c>
      <c r="F667">
        <v>23</v>
      </c>
      <c r="G667" t="s">
        <v>23</v>
      </c>
      <c r="H667">
        <v>1</v>
      </c>
      <c r="I667">
        <v>119</v>
      </c>
      <c r="J667">
        <v>119</v>
      </c>
    </row>
    <row r="668" spans="1:10" x14ac:dyDescent="0.3">
      <c r="A668">
        <v>667</v>
      </c>
      <c r="B668" s="1">
        <v>45593</v>
      </c>
      <c r="C668" t="s">
        <v>686</v>
      </c>
      <c r="D668" t="s">
        <v>4</v>
      </c>
      <c r="E668" t="s">
        <v>19</v>
      </c>
      <c r="F668">
        <v>45</v>
      </c>
      <c r="G668" t="s">
        <v>15</v>
      </c>
      <c r="H668">
        <v>1</v>
      </c>
      <c r="I668">
        <v>352</v>
      </c>
      <c r="J668">
        <v>352</v>
      </c>
    </row>
    <row r="669" spans="1:10" x14ac:dyDescent="0.3">
      <c r="A669">
        <v>668</v>
      </c>
      <c r="B669" s="1">
        <v>45594</v>
      </c>
      <c r="C669" t="s">
        <v>687</v>
      </c>
      <c r="D669" t="s">
        <v>2</v>
      </c>
      <c r="E669" t="s">
        <v>14</v>
      </c>
      <c r="F669">
        <v>27</v>
      </c>
      <c r="G669" t="s">
        <v>20</v>
      </c>
      <c r="H669">
        <v>4</v>
      </c>
      <c r="I669">
        <v>228</v>
      </c>
      <c r="J669">
        <v>912</v>
      </c>
    </row>
    <row r="670" spans="1:10" x14ac:dyDescent="0.3">
      <c r="A670">
        <v>669</v>
      </c>
      <c r="B670" s="1">
        <v>45595</v>
      </c>
      <c r="C670" t="s">
        <v>688</v>
      </c>
      <c r="D670" t="s">
        <v>1</v>
      </c>
      <c r="E670" t="s">
        <v>14</v>
      </c>
      <c r="F670">
        <v>41</v>
      </c>
      <c r="G670" t="s">
        <v>27</v>
      </c>
      <c r="H670">
        <v>3</v>
      </c>
      <c r="I670">
        <v>253</v>
      </c>
      <c r="J670">
        <v>759</v>
      </c>
    </row>
    <row r="671" spans="1:10" x14ac:dyDescent="0.3">
      <c r="A671">
        <v>670</v>
      </c>
      <c r="B671" s="1">
        <v>45596</v>
      </c>
      <c r="C671" t="s">
        <v>689</v>
      </c>
      <c r="D671" t="s">
        <v>2</v>
      </c>
      <c r="E671" t="s">
        <v>14</v>
      </c>
      <c r="F671">
        <v>44</v>
      </c>
      <c r="G671" t="s">
        <v>20</v>
      </c>
      <c r="H671">
        <v>4</v>
      </c>
      <c r="I671">
        <v>218</v>
      </c>
      <c r="J671">
        <v>872</v>
      </c>
    </row>
    <row r="672" spans="1:10" x14ac:dyDescent="0.3">
      <c r="A672">
        <v>671</v>
      </c>
      <c r="B672" s="1">
        <v>45597</v>
      </c>
      <c r="C672" t="s">
        <v>690</v>
      </c>
      <c r="D672" t="s">
        <v>1</v>
      </c>
      <c r="E672" t="s">
        <v>19</v>
      </c>
      <c r="F672">
        <v>51</v>
      </c>
      <c r="G672" t="s">
        <v>17</v>
      </c>
      <c r="H672">
        <v>2</v>
      </c>
      <c r="I672">
        <v>459</v>
      </c>
      <c r="J672">
        <v>918</v>
      </c>
    </row>
    <row r="673" spans="1:10" x14ac:dyDescent="0.3">
      <c r="A673">
        <v>672</v>
      </c>
      <c r="B673" s="1">
        <v>45598</v>
      </c>
      <c r="C673" t="s">
        <v>691</v>
      </c>
      <c r="D673" t="s">
        <v>3</v>
      </c>
      <c r="E673" t="s">
        <v>14</v>
      </c>
      <c r="F673">
        <v>51</v>
      </c>
      <c r="G673" t="s">
        <v>20</v>
      </c>
      <c r="H673">
        <v>1</v>
      </c>
      <c r="I673">
        <v>35</v>
      </c>
      <c r="J673">
        <v>35</v>
      </c>
    </row>
    <row r="674" spans="1:10" x14ac:dyDescent="0.3">
      <c r="A674">
        <v>673</v>
      </c>
      <c r="B674" s="1">
        <v>45599</v>
      </c>
      <c r="C674" t="s">
        <v>692</v>
      </c>
      <c r="D674" t="s">
        <v>1</v>
      </c>
      <c r="E674" t="s">
        <v>19</v>
      </c>
      <c r="F674">
        <v>37</v>
      </c>
      <c r="G674" t="s">
        <v>20</v>
      </c>
      <c r="H674">
        <v>3</v>
      </c>
      <c r="I674">
        <v>276</v>
      </c>
      <c r="J674">
        <v>828</v>
      </c>
    </row>
    <row r="675" spans="1:10" x14ac:dyDescent="0.3">
      <c r="A675">
        <v>674</v>
      </c>
      <c r="B675" s="1">
        <v>45600</v>
      </c>
      <c r="C675" t="s">
        <v>693</v>
      </c>
      <c r="D675" t="s">
        <v>4</v>
      </c>
      <c r="E675" t="s">
        <v>14</v>
      </c>
      <c r="F675">
        <v>29</v>
      </c>
      <c r="G675" t="s">
        <v>15</v>
      </c>
      <c r="H675">
        <v>1</v>
      </c>
      <c r="I675">
        <v>363</v>
      </c>
      <c r="J675">
        <v>363</v>
      </c>
    </row>
    <row r="676" spans="1:10" x14ac:dyDescent="0.3">
      <c r="A676">
        <v>675</v>
      </c>
      <c r="B676" s="1">
        <v>45601</v>
      </c>
      <c r="C676" t="s">
        <v>694</v>
      </c>
      <c r="D676" t="s">
        <v>4</v>
      </c>
      <c r="E676" t="s">
        <v>14</v>
      </c>
      <c r="F676">
        <v>44</v>
      </c>
      <c r="G676" t="s">
        <v>27</v>
      </c>
      <c r="H676">
        <v>4</v>
      </c>
      <c r="I676">
        <v>257</v>
      </c>
      <c r="J676">
        <v>1028</v>
      </c>
    </row>
    <row r="677" spans="1:10" x14ac:dyDescent="0.3">
      <c r="A677">
        <v>676</v>
      </c>
      <c r="B677" s="1">
        <v>45602</v>
      </c>
      <c r="C677" t="s">
        <v>695</v>
      </c>
      <c r="D677" t="s">
        <v>4</v>
      </c>
      <c r="E677" t="s">
        <v>19</v>
      </c>
      <c r="F677">
        <v>37</v>
      </c>
      <c r="G677" t="s">
        <v>15</v>
      </c>
      <c r="H677">
        <v>3</v>
      </c>
      <c r="I677">
        <v>437</v>
      </c>
      <c r="J677">
        <v>1311</v>
      </c>
    </row>
    <row r="678" spans="1:10" x14ac:dyDescent="0.3">
      <c r="A678">
        <v>677</v>
      </c>
      <c r="B678" s="1">
        <v>45603</v>
      </c>
      <c r="C678" t="s">
        <v>696</v>
      </c>
      <c r="D678" t="s">
        <v>1</v>
      </c>
      <c r="E678" t="s">
        <v>14</v>
      </c>
      <c r="F678">
        <v>39</v>
      </c>
      <c r="G678" t="s">
        <v>15</v>
      </c>
      <c r="H678">
        <v>1</v>
      </c>
      <c r="I678">
        <v>33</v>
      </c>
      <c r="J678">
        <v>33</v>
      </c>
    </row>
    <row r="679" spans="1:10" x14ac:dyDescent="0.3">
      <c r="A679">
        <v>678</v>
      </c>
      <c r="B679" s="1">
        <v>45604</v>
      </c>
      <c r="C679" t="s">
        <v>697</v>
      </c>
      <c r="D679" t="s">
        <v>4</v>
      </c>
      <c r="E679" t="s">
        <v>14</v>
      </c>
      <c r="F679">
        <v>35</v>
      </c>
      <c r="G679" t="s">
        <v>17</v>
      </c>
      <c r="H679">
        <v>1</v>
      </c>
      <c r="I679">
        <v>246</v>
      </c>
      <c r="J679">
        <v>246</v>
      </c>
    </row>
    <row r="680" spans="1:10" x14ac:dyDescent="0.3">
      <c r="A680">
        <v>679</v>
      </c>
      <c r="B680" s="1">
        <v>45605</v>
      </c>
      <c r="C680" t="s">
        <v>698</v>
      </c>
      <c r="D680" t="s">
        <v>4</v>
      </c>
      <c r="E680" t="s">
        <v>19</v>
      </c>
      <c r="F680">
        <v>28</v>
      </c>
      <c r="G680" t="s">
        <v>27</v>
      </c>
      <c r="H680">
        <v>1</v>
      </c>
      <c r="I680">
        <v>487</v>
      </c>
      <c r="J680">
        <v>487</v>
      </c>
    </row>
    <row r="681" spans="1:10" x14ac:dyDescent="0.3">
      <c r="A681">
        <v>680</v>
      </c>
      <c r="B681" s="1">
        <v>45606</v>
      </c>
      <c r="C681" t="s">
        <v>699</v>
      </c>
      <c r="D681" t="s">
        <v>4</v>
      </c>
      <c r="E681" t="s">
        <v>19</v>
      </c>
      <c r="F681">
        <v>42</v>
      </c>
      <c r="G681" t="s">
        <v>17</v>
      </c>
      <c r="H681">
        <v>5</v>
      </c>
      <c r="I681">
        <v>380</v>
      </c>
      <c r="J681">
        <v>1900</v>
      </c>
    </row>
    <row r="682" spans="1:10" x14ac:dyDescent="0.3">
      <c r="A682">
        <v>681</v>
      </c>
      <c r="B682" s="1">
        <v>45607</v>
      </c>
      <c r="C682" t="s">
        <v>700</v>
      </c>
      <c r="D682" t="s">
        <v>3</v>
      </c>
      <c r="E682" t="s">
        <v>14</v>
      </c>
      <c r="F682">
        <v>25</v>
      </c>
      <c r="G682" t="s">
        <v>17</v>
      </c>
      <c r="H682">
        <v>4</v>
      </c>
      <c r="I682">
        <v>128</v>
      </c>
      <c r="J682">
        <v>512</v>
      </c>
    </row>
    <row r="683" spans="1:10" x14ac:dyDescent="0.3">
      <c r="A683">
        <v>682</v>
      </c>
      <c r="B683" s="1">
        <v>45608</v>
      </c>
      <c r="C683" t="s">
        <v>701</v>
      </c>
      <c r="D683" t="s">
        <v>1</v>
      </c>
      <c r="E683" t="s">
        <v>19</v>
      </c>
      <c r="F683">
        <v>49</v>
      </c>
      <c r="G683" t="s">
        <v>15</v>
      </c>
      <c r="H683">
        <v>3</v>
      </c>
      <c r="I683">
        <v>133</v>
      </c>
      <c r="J683">
        <v>399</v>
      </c>
    </row>
    <row r="684" spans="1:10" x14ac:dyDescent="0.3">
      <c r="A684">
        <v>683</v>
      </c>
      <c r="B684" s="1">
        <v>45609</v>
      </c>
      <c r="C684" t="s">
        <v>702</v>
      </c>
      <c r="D684" t="s">
        <v>1</v>
      </c>
      <c r="E684" t="s">
        <v>14</v>
      </c>
      <c r="F684">
        <v>18</v>
      </c>
      <c r="G684" t="s">
        <v>27</v>
      </c>
      <c r="H684">
        <v>3</v>
      </c>
      <c r="I684">
        <v>314</v>
      </c>
      <c r="J684">
        <v>942</v>
      </c>
    </row>
    <row r="685" spans="1:10" x14ac:dyDescent="0.3">
      <c r="A685">
        <v>684</v>
      </c>
      <c r="B685" s="1">
        <v>45610</v>
      </c>
      <c r="C685" t="s">
        <v>703</v>
      </c>
      <c r="D685" t="s">
        <v>2</v>
      </c>
      <c r="E685" t="s">
        <v>19</v>
      </c>
      <c r="F685">
        <v>22</v>
      </c>
      <c r="G685" t="s">
        <v>27</v>
      </c>
      <c r="H685">
        <v>1</v>
      </c>
      <c r="I685">
        <v>38</v>
      </c>
      <c r="J685">
        <v>38</v>
      </c>
    </row>
    <row r="686" spans="1:10" x14ac:dyDescent="0.3">
      <c r="A686">
        <v>685</v>
      </c>
      <c r="B686" s="1">
        <v>45611</v>
      </c>
      <c r="C686" t="s">
        <v>704</v>
      </c>
      <c r="D686" t="s">
        <v>1</v>
      </c>
      <c r="E686" t="s">
        <v>14</v>
      </c>
      <c r="F686">
        <v>32</v>
      </c>
      <c r="G686" t="s">
        <v>20</v>
      </c>
      <c r="H686">
        <v>3</v>
      </c>
      <c r="I686">
        <v>28</v>
      </c>
      <c r="J686">
        <v>84</v>
      </c>
    </row>
    <row r="687" spans="1:10" x14ac:dyDescent="0.3">
      <c r="A687">
        <v>686</v>
      </c>
      <c r="B687" s="1">
        <v>45612</v>
      </c>
      <c r="C687" t="s">
        <v>705</v>
      </c>
      <c r="D687" t="s">
        <v>3</v>
      </c>
      <c r="E687" t="s">
        <v>14</v>
      </c>
      <c r="F687">
        <v>44</v>
      </c>
      <c r="G687" t="s">
        <v>15</v>
      </c>
      <c r="H687">
        <v>1</v>
      </c>
      <c r="I687">
        <v>487</v>
      </c>
      <c r="J687">
        <v>487</v>
      </c>
    </row>
    <row r="688" spans="1:10" x14ac:dyDescent="0.3">
      <c r="A688">
        <v>687</v>
      </c>
      <c r="B688" s="1">
        <v>45613</v>
      </c>
      <c r="C688" t="s">
        <v>706</v>
      </c>
      <c r="D688" t="s">
        <v>1</v>
      </c>
      <c r="E688" t="s">
        <v>14</v>
      </c>
      <c r="F688">
        <v>59</v>
      </c>
      <c r="G688" t="s">
        <v>23</v>
      </c>
      <c r="H688">
        <v>1</v>
      </c>
      <c r="I688">
        <v>395</v>
      </c>
      <c r="J688">
        <v>395</v>
      </c>
    </row>
    <row r="689" spans="1:10" x14ac:dyDescent="0.3">
      <c r="A689">
        <v>688</v>
      </c>
      <c r="B689" s="1">
        <v>45614</v>
      </c>
      <c r="C689" t="s">
        <v>707</v>
      </c>
      <c r="D689" t="s">
        <v>3</v>
      </c>
      <c r="E689" t="s">
        <v>19</v>
      </c>
      <c r="F689">
        <v>19</v>
      </c>
      <c r="G689" t="s">
        <v>23</v>
      </c>
      <c r="H689">
        <v>2</v>
      </c>
      <c r="I689">
        <v>216</v>
      </c>
      <c r="J689">
        <v>432</v>
      </c>
    </row>
    <row r="690" spans="1:10" x14ac:dyDescent="0.3">
      <c r="A690">
        <v>689</v>
      </c>
      <c r="B690" s="1">
        <v>45615</v>
      </c>
      <c r="C690" t="s">
        <v>708</v>
      </c>
      <c r="D690" t="s">
        <v>3</v>
      </c>
      <c r="E690" t="s">
        <v>19</v>
      </c>
      <c r="F690">
        <v>53</v>
      </c>
      <c r="G690" t="s">
        <v>27</v>
      </c>
      <c r="H690">
        <v>4</v>
      </c>
      <c r="I690">
        <v>471</v>
      </c>
      <c r="J690">
        <v>1884</v>
      </c>
    </row>
    <row r="691" spans="1:10" x14ac:dyDescent="0.3">
      <c r="A691">
        <v>690</v>
      </c>
      <c r="B691" s="1">
        <v>45616</v>
      </c>
      <c r="C691" t="s">
        <v>709</v>
      </c>
      <c r="D691" t="s">
        <v>1</v>
      </c>
      <c r="E691" t="s">
        <v>14</v>
      </c>
      <c r="F691">
        <v>19</v>
      </c>
      <c r="G691" t="s">
        <v>20</v>
      </c>
      <c r="H691">
        <v>3</v>
      </c>
      <c r="I691">
        <v>396</v>
      </c>
      <c r="J691">
        <v>1188</v>
      </c>
    </row>
    <row r="692" spans="1:10" x14ac:dyDescent="0.3">
      <c r="A692">
        <v>691</v>
      </c>
      <c r="B692" s="1">
        <v>45617</v>
      </c>
      <c r="C692" t="s">
        <v>710</v>
      </c>
      <c r="D692" t="s">
        <v>2</v>
      </c>
      <c r="E692" t="s">
        <v>19</v>
      </c>
      <c r="F692">
        <v>32</v>
      </c>
      <c r="G692" t="s">
        <v>23</v>
      </c>
      <c r="H692">
        <v>4</v>
      </c>
      <c r="I692">
        <v>282</v>
      </c>
      <c r="J692">
        <v>1128</v>
      </c>
    </row>
    <row r="693" spans="1:10" x14ac:dyDescent="0.3">
      <c r="A693">
        <v>692</v>
      </c>
      <c r="B693" s="1">
        <v>45618</v>
      </c>
      <c r="C693" t="s">
        <v>711</v>
      </c>
      <c r="D693" t="s">
        <v>4</v>
      </c>
      <c r="E693" t="s">
        <v>14</v>
      </c>
      <c r="F693">
        <v>29</v>
      </c>
      <c r="G693" t="s">
        <v>15</v>
      </c>
      <c r="H693">
        <v>3</v>
      </c>
      <c r="I693">
        <v>113</v>
      </c>
      <c r="J693">
        <v>339</v>
      </c>
    </row>
    <row r="694" spans="1:10" x14ac:dyDescent="0.3">
      <c r="A694">
        <v>693</v>
      </c>
      <c r="B694" s="1">
        <v>45619</v>
      </c>
      <c r="C694" t="s">
        <v>712</v>
      </c>
      <c r="D694" t="s">
        <v>4</v>
      </c>
      <c r="E694" t="s">
        <v>19</v>
      </c>
      <c r="F694">
        <v>42</v>
      </c>
      <c r="G694" t="s">
        <v>23</v>
      </c>
      <c r="H694">
        <v>5</v>
      </c>
      <c r="I694">
        <v>459</v>
      </c>
      <c r="J694">
        <v>2295</v>
      </c>
    </row>
    <row r="695" spans="1:10" x14ac:dyDescent="0.3">
      <c r="A695">
        <v>694</v>
      </c>
      <c r="B695" s="1">
        <v>45620</v>
      </c>
      <c r="C695" t="s">
        <v>713</v>
      </c>
      <c r="D695" t="s">
        <v>1</v>
      </c>
      <c r="E695" t="s">
        <v>14</v>
      </c>
      <c r="F695">
        <v>40</v>
      </c>
      <c r="G695" t="s">
        <v>23</v>
      </c>
      <c r="H695">
        <v>5</v>
      </c>
      <c r="I695">
        <v>223</v>
      </c>
      <c r="J695">
        <v>1115</v>
      </c>
    </row>
    <row r="696" spans="1:10" x14ac:dyDescent="0.3">
      <c r="A696">
        <v>695</v>
      </c>
      <c r="B696" s="1">
        <v>45621</v>
      </c>
      <c r="C696" t="s">
        <v>714</v>
      </c>
      <c r="D696" t="s">
        <v>1</v>
      </c>
      <c r="E696" t="s">
        <v>14</v>
      </c>
      <c r="F696">
        <v>37</v>
      </c>
      <c r="G696" t="s">
        <v>17</v>
      </c>
      <c r="H696">
        <v>1</v>
      </c>
      <c r="I696">
        <v>271</v>
      </c>
      <c r="J696">
        <v>271</v>
      </c>
    </row>
    <row r="697" spans="1:10" x14ac:dyDescent="0.3">
      <c r="A697">
        <v>696</v>
      </c>
      <c r="B697" s="1">
        <v>45622</v>
      </c>
      <c r="C697" t="s">
        <v>715</v>
      </c>
      <c r="D697" t="s">
        <v>3</v>
      </c>
      <c r="E697" t="s">
        <v>19</v>
      </c>
      <c r="F697">
        <v>21</v>
      </c>
      <c r="G697" t="s">
        <v>20</v>
      </c>
      <c r="H697">
        <v>2</v>
      </c>
      <c r="I697">
        <v>104</v>
      </c>
      <c r="J697">
        <v>208</v>
      </c>
    </row>
    <row r="698" spans="1:10" x14ac:dyDescent="0.3">
      <c r="A698">
        <v>697</v>
      </c>
      <c r="B698" s="1">
        <v>45623</v>
      </c>
      <c r="C698" t="s">
        <v>716</v>
      </c>
      <c r="D698" t="s">
        <v>1</v>
      </c>
      <c r="E698" t="s">
        <v>14</v>
      </c>
      <c r="F698">
        <v>37</v>
      </c>
      <c r="G698" t="s">
        <v>20</v>
      </c>
      <c r="H698">
        <v>5</v>
      </c>
      <c r="I698">
        <v>470</v>
      </c>
      <c r="J698">
        <v>2350</v>
      </c>
    </row>
    <row r="699" spans="1:10" x14ac:dyDescent="0.3">
      <c r="A699">
        <v>698</v>
      </c>
      <c r="B699" s="1">
        <v>45624</v>
      </c>
      <c r="C699" t="s">
        <v>717</v>
      </c>
      <c r="D699" t="s">
        <v>3</v>
      </c>
      <c r="E699" t="s">
        <v>14</v>
      </c>
      <c r="F699">
        <v>22</v>
      </c>
      <c r="G699" t="s">
        <v>17</v>
      </c>
      <c r="H699">
        <v>5</v>
      </c>
      <c r="I699">
        <v>332</v>
      </c>
      <c r="J699">
        <v>1660</v>
      </c>
    </row>
    <row r="700" spans="1:10" x14ac:dyDescent="0.3">
      <c r="A700">
        <v>699</v>
      </c>
      <c r="B700" s="1">
        <v>45625</v>
      </c>
      <c r="C700" t="s">
        <v>718</v>
      </c>
      <c r="D700" t="s">
        <v>2</v>
      </c>
      <c r="E700" t="s">
        <v>19</v>
      </c>
      <c r="F700">
        <v>57</v>
      </c>
      <c r="G700" t="s">
        <v>27</v>
      </c>
      <c r="H700">
        <v>4</v>
      </c>
      <c r="I700">
        <v>125</v>
      </c>
      <c r="J700">
        <v>500</v>
      </c>
    </row>
    <row r="701" spans="1:10" x14ac:dyDescent="0.3">
      <c r="A701">
        <v>700</v>
      </c>
      <c r="B701" s="1">
        <v>45626</v>
      </c>
      <c r="C701" t="s">
        <v>719</v>
      </c>
      <c r="D701" t="s">
        <v>1</v>
      </c>
      <c r="E701" t="s">
        <v>14</v>
      </c>
      <c r="F701">
        <v>35</v>
      </c>
      <c r="G701" t="s">
        <v>27</v>
      </c>
      <c r="H701">
        <v>5</v>
      </c>
      <c r="I701">
        <v>414</v>
      </c>
      <c r="J701">
        <v>2070</v>
      </c>
    </row>
    <row r="702" spans="1:10" x14ac:dyDescent="0.3">
      <c r="A702">
        <v>701</v>
      </c>
      <c r="B702" s="1">
        <v>45627</v>
      </c>
      <c r="C702" t="s">
        <v>720</v>
      </c>
      <c r="D702" t="s">
        <v>4</v>
      </c>
      <c r="E702" t="s">
        <v>14</v>
      </c>
      <c r="F702">
        <v>50</v>
      </c>
      <c r="G702" t="s">
        <v>17</v>
      </c>
      <c r="H702">
        <v>3</v>
      </c>
      <c r="I702">
        <v>429</v>
      </c>
      <c r="J702">
        <v>1287</v>
      </c>
    </row>
    <row r="703" spans="1:10" x14ac:dyDescent="0.3">
      <c r="A703">
        <v>702</v>
      </c>
      <c r="B703" s="1">
        <v>45628</v>
      </c>
      <c r="C703" t="s">
        <v>721</v>
      </c>
      <c r="D703" t="s">
        <v>4</v>
      </c>
      <c r="E703" t="s">
        <v>14</v>
      </c>
      <c r="F703">
        <v>58</v>
      </c>
      <c r="G703" t="s">
        <v>17</v>
      </c>
      <c r="H703">
        <v>2</v>
      </c>
      <c r="I703">
        <v>256</v>
      </c>
      <c r="J703">
        <v>512</v>
      </c>
    </row>
    <row r="704" spans="1:10" x14ac:dyDescent="0.3">
      <c r="A704">
        <v>703</v>
      </c>
      <c r="B704" s="1">
        <v>45629</v>
      </c>
      <c r="C704" t="s">
        <v>722</v>
      </c>
      <c r="D704" t="s">
        <v>1</v>
      </c>
      <c r="E704" t="s">
        <v>14</v>
      </c>
      <c r="F704">
        <v>55</v>
      </c>
      <c r="G704" t="s">
        <v>27</v>
      </c>
      <c r="H704">
        <v>4</v>
      </c>
      <c r="I704">
        <v>259</v>
      </c>
      <c r="J704">
        <v>1036</v>
      </c>
    </row>
    <row r="705" spans="1:10" x14ac:dyDescent="0.3">
      <c r="A705">
        <v>704</v>
      </c>
      <c r="B705" s="1">
        <v>45630</v>
      </c>
      <c r="C705" t="s">
        <v>723</v>
      </c>
      <c r="D705" t="s">
        <v>3</v>
      </c>
      <c r="E705" t="s">
        <v>19</v>
      </c>
      <c r="F705">
        <v>23</v>
      </c>
      <c r="G705" t="s">
        <v>17</v>
      </c>
      <c r="H705">
        <v>1</v>
      </c>
      <c r="I705">
        <v>421</v>
      </c>
      <c r="J705">
        <v>421</v>
      </c>
    </row>
    <row r="706" spans="1:10" x14ac:dyDescent="0.3">
      <c r="A706">
        <v>705</v>
      </c>
      <c r="B706" s="1">
        <v>45631</v>
      </c>
      <c r="C706" t="s">
        <v>724</v>
      </c>
      <c r="D706" t="s">
        <v>4</v>
      </c>
      <c r="E706" t="s">
        <v>14</v>
      </c>
      <c r="F706">
        <v>32</v>
      </c>
      <c r="G706" t="s">
        <v>15</v>
      </c>
      <c r="H706">
        <v>4</v>
      </c>
      <c r="I706">
        <v>122</v>
      </c>
      <c r="J706">
        <v>488</v>
      </c>
    </row>
    <row r="707" spans="1:10" x14ac:dyDescent="0.3">
      <c r="A707">
        <v>706</v>
      </c>
      <c r="B707" s="1">
        <v>45632</v>
      </c>
      <c r="C707" t="s">
        <v>725</v>
      </c>
      <c r="D707" t="s">
        <v>3</v>
      </c>
      <c r="E707" t="s">
        <v>14</v>
      </c>
      <c r="F707">
        <v>51</v>
      </c>
      <c r="G707" t="s">
        <v>23</v>
      </c>
      <c r="H707">
        <v>5</v>
      </c>
      <c r="I707">
        <v>441</v>
      </c>
      <c r="J707">
        <v>2205</v>
      </c>
    </row>
    <row r="708" spans="1:10" x14ac:dyDescent="0.3">
      <c r="A708">
        <v>707</v>
      </c>
      <c r="B708" s="1">
        <v>45633</v>
      </c>
      <c r="C708" t="s">
        <v>726</v>
      </c>
      <c r="D708" t="s">
        <v>1</v>
      </c>
      <c r="E708" t="s">
        <v>19</v>
      </c>
      <c r="F708">
        <v>23</v>
      </c>
      <c r="G708" t="s">
        <v>27</v>
      </c>
      <c r="H708">
        <v>5</v>
      </c>
      <c r="I708">
        <v>242</v>
      </c>
      <c r="J708">
        <v>1210</v>
      </c>
    </row>
    <row r="709" spans="1:10" x14ac:dyDescent="0.3">
      <c r="A709">
        <v>708</v>
      </c>
      <c r="B709" s="1">
        <v>45634</v>
      </c>
      <c r="C709" t="s">
        <v>727</v>
      </c>
      <c r="D709" t="s">
        <v>1</v>
      </c>
      <c r="E709" t="s">
        <v>19</v>
      </c>
      <c r="F709">
        <v>28</v>
      </c>
      <c r="G709" t="s">
        <v>17</v>
      </c>
      <c r="H709">
        <v>3</v>
      </c>
      <c r="I709">
        <v>76</v>
      </c>
      <c r="J709">
        <v>228</v>
      </c>
    </row>
    <row r="710" spans="1:10" x14ac:dyDescent="0.3">
      <c r="A710">
        <v>709</v>
      </c>
      <c r="B710" s="1">
        <v>45635</v>
      </c>
      <c r="C710" t="s">
        <v>728</v>
      </c>
      <c r="D710" t="s">
        <v>4</v>
      </c>
      <c r="E710" t="s">
        <v>14</v>
      </c>
      <c r="F710">
        <v>37</v>
      </c>
      <c r="G710" t="s">
        <v>17</v>
      </c>
      <c r="H710">
        <v>4</v>
      </c>
      <c r="I710">
        <v>182</v>
      </c>
      <c r="J710">
        <v>728</v>
      </c>
    </row>
    <row r="711" spans="1:10" x14ac:dyDescent="0.3">
      <c r="A711">
        <v>710</v>
      </c>
      <c r="B711" s="1">
        <v>45636</v>
      </c>
      <c r="C711" t="s">
        <v>729</v>
      </c>
      <c r="D711" t="s">
        <v>1</v>
      </c>
      <c r="E711" t="s">
        <v>19</v>
      </c>
      <c r="F711">
        <v>21</v>
      </c>
      <c r="G711" t="s">
        <v>27</v>
      </c>
      <c r="H711">
        <v>4</v>
      </c>
      <c r="I711">
        <v>213</v>
      </c>
      <c r="J711">
        <v>852</v>
      </c>
    </row>
    <row r="712" spans="1:10" x14ac:dyDescent="0.3">
      <c r="A712">
        <v>711</v>
      </c>
      <c r="B712" s="1">
        <v>45637</v>
      </c>
      <c r="C712" t="s">
        <v>730</v>
      </c>
      <c r="D712" t="s">
        <v>2</v>
      </c>
      <c r="E712" t="s">
        <v>14</v>
      </c>
      <c r="F712">
        <v>39</v>
      </c>
      <c r="G712" t="s">
        <v>20</v>
      </c>
      <c r="H712">
        <v>5</v>
      </c>
      <c r="I712">
        <v>128</v>
      </c>
      <c r="J712">
        <v>640</v>
      </c>
    </row>
    <row r="713" spans="1:10" x14ac:dyDescent="0.3">
      <c r="A713">
        <v>712</v>
      </c>
      <c r="B713" s="1">
        <v>45638</v>
      </c>
      <c r="C713" t="s">
        <v>731</v>
      </c>
      <c r="D713" t="s">
        <v>2</v>
      </c>
      <c r="E713" t="s">
        <v>19</v>
      </c>
      <c r="F713">
        <v>24</v>
      </c>
      <c r="G713" t="s">
        <v>15</v>
      </c>
      <c r="H713">
        <v>4</v>
      </c>
      <c r="I713">
        <v>255</v>
      </c>
      <c r="J713">
        <v>1020</v>
      </c>
    </row>
    <row r="714" spans="1:10" x14ac:dyDescent="0.3">
      <c r="A714">
        <v>713</v>
      </c>
      <c r="B714" s="1">
        <v>45639</v>
      </c>
      <c r="C714" t="s">
        <v>732</v>
      </c>
      <c r="D714" t="s">
        <v>4</v>
      </c>
      <c r="E714" t="s">
        <v>14</v>
      </c>
      <c r="F714">
        <v>45</v>
      </c>
      <c r="G714" t="s">
        <v>17</v>
      </c>
      <c r="H714">
        <v>2</v>
      </c>
      <c r="I714">
        <v>175</v>
      </c>
      <c r="J714">
        <v>350</v>
      </c>
    </row>
    <row r="715" spans="1:10" x14ac:dyDescent="0.3">
      <c r="A715">
        <v>714</v>
      </c>
      <c r="B715" s="1">
        <v>45640</v>
      </c>
      <c r="C715" t="s">
        <v>733</v>
      </c>
      <c r="D715" t="s">
        <v>2</v>
      </c>
      <c r="E715" t="s">
        <v>14</v>
      </c>
      <c r="F715">
        <v>35</v>
      </c>
      <c r="G715" t="s">
        <v>27</v>
      </c>
      <c r="H715">
        <v>1</v>
      </c>
      <c r="I715">
        <v>291</v>
      </c>
      <c r="J715">
        <v>291</v>
      </c>
    </row>
    <row r="716" spans="1:10" x14ac:dyDescent="0.3">
      <c r="A716">
        <v>715</v>
      </c>
      <c r="B716" s="1">
        <v>45641</v>
      </c>
      <c r="C716" t="s">
        <v>734</v>
      </c>
      <c r="D716" t="s">
        <v>3</v>
      </c>
      <c r="E716" t="s">
        <v>19</v>
      </c>
      <c r="F716">
        <v>36</v>
      </c>
      <c r="G716" t="s">
        <v>23</v>
      </c>
      <c r="H716">
        <v>5</v>
      </c>
      <c r="I716">
        <v>386</v>
      </c>
      <c r="J716">
        <v>1930</v>
      </c>
    </row>
    <row r="717" spans="1:10" x14ac:dyDescent="0.3">
      <c r="A717">
        <v>716</v>
      </c>
      <c r="B717" s="1">
        <v>45642</v>
      </c>
      <c r="C717" t="s">
        <v>735</v>
      </c>
      <c r="D717" t="s">
        <v>4</v>
      </c>
      <c r="E717" t="s">
        <v>19</v>
      </c>
      <c r="F717">
        <v>40</v>
      </c>
      <c r="G717" t="s">
        <v>15</v>
      </c>
      <c r="H717">
        <v>3</v>
      </c>
      <c r="I717">
        <v>165</v>
      </c>
      <c r="J717">
        <v>495</v>
      </c>
    </row>
    <row r="718" spans="1:10" x14ac:dyDescent="0.3">
      <c r="A718">
        <v>717</v>
      </c>
      <c r="B718" s="1">
        <v>45643</v>
      </c>
      <c r="C718" t="s">
        <v>736</v>
      </c>
      <c r="D718" t="s">
        <v>4</v>
      </c>
      <c r="E718" t="s">
        <v>14</v>
      </c>
      <c r="F718">
        <v>41</v>
      </c>
      <c r="G718" t="s">
        <v>17</v>
      </c>
      <c r="H718">
        <v>3</v>
      </c>
      <c r="I718">
        <v>353</v>
      </c>
      <c r="J718">
        <v>1059</v>
      </c>
    </row>
    <row r="719" spans="1:10" x14ac:dyDescent="0.3">
      <c r="A719">
        <v>718</v>
      </c>
      <c r="B719" s="1">
        <v>45644</v>
      </c>
      <c r="C719" t="s">
        <v>737</v>
      </c>
      <c r="D719" t="s">
        <v>3</v>
      </c>
      <c r="E719" t="s">
        <v>14</v>
      </c>
      <c r="F719">
        <v>27</v>
      </c>
      <c r="G719" t="s">
        <v>27</v>
      </c>
      <c r="H719">
        <v>1</v>
      </c>
      <c r="I719">
        <v>225</v>
      </c>
      <c r="J719">
        <v>225</v>
      </c>
    </row>
    <row r="720" spans="1:10" x14ac:dyDescent="0.3">
      <c r="A720">
        <v>719</v>
      </c>
      <c r="B720" s="1">
        <v>45645</v>
      </c>
      <c r="C720" t="s">
        <v>738</v>
      </c>
      <c r="D720" t="s">
        <v>2</v>
      </c>
      <c r="E720" t="s">
        <v>14</v>
      </c>
      <c r="F720">
        <v>50</v>
      </c>
      <c r="G720" t="s">
        <v>15</v>
      </c>
      <c r="H720">
        <v>5</v>
      </c>
      <c r="I720">
        <v>25</v>
      </c>
      <c r="J720">
        <v>125</v>
      </c>
    </row>
    <row r="721" spans="1:10" x14ac:dyDescent="0.3">
      <c r="A721">
        <v>720</v>
      </c>
      <c r="B721" s="1">
        <v>45646</v>
      </c>
      <c r="C721" t="s">
        <v>739</v>
      </c>
      <c r="D721" t="s">
        <v>2</v>
      </c>
      <c r="E721" t="s">
        <v>19</v>
      </c>
      <c r="F721">
        <v>18</v>
      </c>
      <c r="G721" t="s">
        <v>27</v>
      </c>
      <c r="H721">
        <v>3</v>
      </c>
      <c r="I721">
        <v>305</v>
      </c>
      <c r="J721">
        <v>915</v>
      </c>
    </row>
    <row r="722" spans="1:10" x14ac:dyDescent="0.3">
      <c r="A722">
        <v>721</v>
      </c>
      <c r="B722" s="1">
        <v>45647</v>
      </c>
      <c r="C722" t="s">
        <v>740</v>
      </c>
      <c r="D722" t="s">
        <v>2</v>
      </c>
      <c r="E722" t="s">
        <v>14</v>
      </c>
      <c r="F722">
        <v>18</v>
      </c>
      <c r="G722" t="s">
        <v>15</v>
      </c>
      <c r="H722">
        <v>2</v>
      </c>
      <c r="I722">
        <v>218</v>
      </c>
      <c r="J722">
        <v>436</v>
      </c>
    </row>
    <row r="723" spans="1:10" x14ac:dyDescent="0.3">
      <c r="A723">
        <v>722</v>
      </c>
      <c r="B723" s="1">
        <v>45648</v>
      </c>
      <c r="C723" t="s">
        <v>741</v>
      </c>
      <c r="D723" t="s">
        <v>4</v>
      </c>
      <c r="E723" t="s">
        <v>14</v>
      </c>
      <c r="F723">
        <v>27</v>
      </c>
      <c r="G723" t="s">
        <v>27</v>
      </c>
      <c r="H723">
        <v>2</v>
      </c>
      <c r="I723">
        <v>117</v>
      </c>
      <c r="J723">
        <v>234</v>
      </c>
    </row>
    <row r="724" spans="1:10" x14ac:dyDescent="0.3">
      <c r="A724">
        <v>723</v>
      </c>
      <c r="B724" s="1">
        <v>45649</v>
      </c>
      <c r="C724" t="s">
        <v>742</v>
      </c>
      <c r="D724" t="s">
        <v>4</v>
      </c>
      <c r="E724" t="s">
        <v>14</v>
      </c>
      <c r="F724">
        <v>41</v>
      </c>
      <c r="G724" t="s">
        <v>23</v>
      </c>
      <c r="H724">
        <v>3</v>
      </c>
      <c r="I724">
        <v>343</v>
      </c>
      <c r="J724">
        <v>1029</v>
      </c>
    </row>
    <row r="725" spans="1:10" x14ac:dyDescent="0.3">
      <c r="A725">
        <v>724</v>
      </c>
      <c r="B725" s="1">
        <v>45650</v>
      </c>
      <c r="C725" t="s">
        <v>743</v>
      </c>
      <c r="D725" t="s">
        <v>2</v>
      </c>
      <c r="E725" t="s">
        <v>19</v>
      </c>
      <c r="F725">
        <v>30</v>
      </c>
      <c r="G725" t="s">
        <v>23</v>
      </c>
      <c r="H725">
        <v>1</v>
      </c>
      <c r="I725">
        <v>99</v>
      </c>
      <c r="J725">
        <v>99</v>
      </c>
    </row>
    <row r="726" spans="1:10" x14ac:dyDescent="0.3">
      <c r="A726">
        <v>725</v>
      </c>
      <c r="B726" s="1">
        <v>45651</v>
      </c>
      <c r="C726" t="s">
        <v>744</v>
      </c>
      <c r="D726" t="s">
        <v>1</v>
      </c>
      <c r="E726" t="s">
        <v>19</v>
      </c>
      <c r="F726">
        <v>26</v>
      </c>
      <c r="G726" t="s">
        <v>15</v>
      </c>
      <c r="H726">
        <v>4</v>
      </c>
      <c r="I726">
        <v>454</v>
      </c>
      <c r="J726">
        <v>1816</v>
      </c>
    </row>
    <row r="727" spans="1:10" x14ac:dyDescent="0.3">
      <c r="A727">
        <v>726</v>
      </c>
      <c r="B727" s="1">
        <v>45652</v>
      </c>
      <c r="C727" t="s">
        <v>745</v>
      </c>
      <c r="D727" t="s">
        <v>2</v>
      </c>
      <c r="E727" t="s">
        <v>14</v>
      </c>
      <c r="F727">
        <v>38</v>
      </c>
      <c r="G727" t="s">
        <v>15</v>
      </c>
      <c r="H727">
        <v>2</v>
      </c>
      <c r="I727">
        <v>360</v>
      </c>
      <c r="J727">
        <v>720</v>
      </c>
    </row>
    <row r="728" spans="1:10" x14ac:dyDescent="0.3">
      <c r="A728">
        <v>727</v>
      </c>
      <c r="B728" s="1">
        <v>45653</v>
      </c>
      <c r="C728" t="s">
        <v>746</v>
      </c>
      <c r="D728" t="s">
        <v>3</v>
      </c>
      <c r="E728" t="s">
        <v>19</v>
      </c>
      <c r="F728">
        <v>45</v>
      </c>
      <c r="G728" t="s">
        <v>20</v>
      </c>
      <c r="H728">
        <v>1</v>
      </c>
      <c r="I728">
        <v>496</v>
      </c>
      <c r="J728">
        <v>496</v>
      </c>
    </row>
    <row r="729" spans="1:10" x14ac:dyDescent="0.3">
      <c r="A729">
        <v>728</v>
      </c>
      <c r="B729" s="1">
        <v>45654</v>
      </c>
      <c r="C729" t="s">
        <v>747</v>
      </c>
      <c r="D729" t="s">
        <v>4</v>
      </c>
      <c r="E729" t="s">
        <v>14</v>
      </c>
      <c r="F729">
        <v>20</v>
      </c>
      <c r="G729" t="s">
        <v>15</v>
      </c>
      <c r="H729">
        <v>5</v>
      </c>
      <c r="I729">
        <v>28</v>
      </c>
      <c r="J729">
        <v>140</v>
      </c>
    </row>
    <row r="730" spans="1:10" x14ac:dyDescent="0.3">
      <c r="A730">
        <v>729</v>
      </c>
      <c r="B730" s="1">
        <v>45655</v>
      </c>
      <c r="C730" t="s">
        <v>748</v>
      </c>
      <c r="D730" t="s">
        <v>3</v>
      </c>
      <c r="E730" t="s">
        <v>14</v>
      </c>
      <c r="F730">
        <v>19</v>
      </c>
      <c r="G730" t="s">
        <v>23</v>
      </c>
      <c r="H730">
        <v>5</v>
      </c>
      <c r="I730">
        <v>235</v>
      </c>
      <c r="J730">
        <v>1175</v>
      </c>
    </row>
    <row r="731" spans="1:10" x14ac:dyDescent="0.3">
      <c r="A731">
        <v>730</v>
      </c>
      <c r="B731" s="1">
        <v>45656</v>
      </c>
      <c r="C731" t="s">
        <v>749</v>
      </c>
      <c r="D731" t="s">
        <v>3</v>
      </c>
      <c r="E731" t="s">
        <v>19</v>
      </c>
      <c r="F731">
        <v>35</v>
      </c>
      <c r="G731" t="s">
        <v>23</v>
      </c>
      <c r="H731">
        <v>5</v>
      </c>
      <c r="I731">
        <v>431</v>
      </c>
      <c r="J731">
        <v>2155</v>
      </c>
    </row>
    <row r="732" spans="1:10" x14ac:dyDescent="0.3">
      <c r="A732">
        <v>731</v>
      </c>
      <c r="B732" s="1">
        <v>45657</v>
      </c>
      <c r="C732" t="s">
        <v>750</v>
      </c>
      <c r="D732" t="s">
        <v>4</v>
      </c>
      <c r="E732" t="s">
        <v>19</v>
      </c>
      <c r="F732">
        <v>49</v>
      </c>
      <c r="G732" t="s">
        <v>15</v>
      </c>
      <c r="H732">
        <v>1</v>
      </c>
      <c r="I732">
        <v>317</v>
      </c>
      <c r="J732">
        <v>317</v>
      </c>
    </row>
    <row r="733" spans="1:10" x14ac:dyDescent="0.3">
      <c r="A733">
        <v>732</v>
      </c>
      <c r="B733" s="1">
        <v>45658</v>
      </c>
      <c r="C733" t="s">
        <v>751</v>
      </c>
      <c r="D733" t="s">
        <v>1</v>
      </c>
      <c r="E733" t="s">
        <v>19</v>
      </c>
      <c r="F733">
        <v>50</v>
      </c>
      <c r="G733" t="s">
        <v>20</v>
      </c>
      <c r="H733">
        <v>2</v>
      </c>
      <c r="I733">
        <v>477</v>
      </c>
      <c r="J733">
        <v>954</v>
      </c>
    </row>
    <row r="734" spans="1:10" x14ac:dyDescent="0.3">
      <c r="A734">
        <v>733</v>
      </c>
      <c r="B734" s="1">
        <v>45659</v>
      </c>
      <c r="C734" t="s">
        <v>752</v>
      </c>
      <c r="D734" t="s">
        <v>2</v>
      </c>
      <c r="E734" t="s">
        <v>19</v>
      </c>
      <c r="F734">
        <v>53</v>
      </c>
      <c r="G734" t="s">
        <v>15</v>
      </c>
      <c r="H734">
        <v>4</v>
      </c>
      <c r="I734">
        <v>151</v>
      </c>
      <c r="J734">
        <v>604</v>
      </c>
    </row>
    <row r="735" spans="1:10" x14ac:dyDescent="0.3">
      <c r="A735">
        <v>734</v>
      </c>
      <c r="B735" s="1">
        <v>45660</v>
      </c>
      <c r="C735" t="s">
        <v>753</v>
      </c>
      <c r="D735" t="s">
        <v>3</v>
      </c>
      <c r="E735" t="s">
        <v>19</v>
      </c>
      <c r="F735">
        <v>46</v>
      </c>
      <c r="G735" t="s">
        <v>20</v>
      </c>
      <c r="H735">
        <v>3</v>
      </c>
      <c r="I735">
        <v>94</v>
      </c>
      <c r="J735">
        <v>282</v>
      </c>
    </row>
    <row r="736" spans="1:10" x14ac:dyDescent="0.3">
      <c r="A736">
        <v>735</v>
      </c>
      <c r="B736" s="1">
        <v>45661</v>
      </c>
      <c r="C736" t="s">
        <v>754</v>
      </c>
      <c r="D736" t="s">
        <v>4</v>
      </c>
      <c r="E736" t="s">
        <v>14</v>
      </c>
      <c r="F736">
        <v>58</v>
      </c>
      <c r="G736" t="s">
        <v>27</v>
      </c>
      <c r="H736">
        <v>5</v>
      </c>
      <c r="I736">
        <v>64</v>
      </c>
      <c r="J736">
        <v>320</v>
      </c>
    </row>
    <row r="737" spans="1:10" x14ac:dyDescent="0.3">
      <c r="A737">
        <v>736</v>
      </c>
      <c r="B737" s="1">
        <v>45662</v>
      </c>
      <c r="C737" t="s">
        <v>755</v>
      </c>
      <c r="D737" t="s">
        <v>3</v>
      </c>
      <c r="E737" t="s">
        <v>19</v>
      </c>
      <c r="F737">
        <v>49</v>
      </c>
      <c r="G737" t="s">
        <v>20</v>
      </c>
      <c r="H737">
        <v>3</v>
      </c>
      <c r="I737">
        <v>61</v>
      </c>
      <c r="J737">
        <v>183</v>
      </c>
    </row>
    <row r="738" spans="1:10" x14ac:dyDescent="0.3">
      <c r="A738">
        <v>737</v>
      </c>
      <c r="B738" s="1">
        <v>45663</v>
      </c>
      <c r="C738" t="s">
        <v>756</v>
      </c>
      <c r="D738" t="s">
        <v>2</v>
      </c>
      <c r="E738" t="s">
        <v>14</v>
      </c>
      <c r="F738">
        <v>40</v>
      </c>
      <c r="G738" t="s">
        <v>27</v>
      </c>
      <c r="H738">
        <v>5</v>
      </c>
      <c r="I738">
        <v>456</v>
      </c>
      <c r="J738">
        <v>2280</v>
      </c>
    </row>
    <row r="739" spans="1:10" x14ac:dyDescent="0.3">
      <c r="A739">
        <v>738</v>
      </c>
      <c r="B739" s="1">
        <v>45664</v>
      </c>
      <c r="C739" t="s">
        <v>757</v>
      </c>
      <c r="D739" t="s">
        <v>1</v>
      </c>
      <c r="E739" t="s">
        <v>14</v>
      </c>
      <c r="F739">
        <v>56</v>
      </c>
      <c r="G739" t="s">
        <v>20</v>
      </c>
      <c r="H739">
        <v>3</v>
      </c>
      <c r="I739">
        <v>328</v>
      </c>
      <c r="J739">
        <v>984</v>
      </c>
    </row>
    <row r="740" spans="1:10" x14ac:dyDescent="0.3">
      <c r="A740">
        <v>739</v>
      </c>
      <c r="B740" s="1">
        <v>45665</v>
      </c>
      <c r="C740" t="s">
        <v>758</v>
      </c>
      <c r="D740" t="s">
        <v>1</v>
      </c>
      <c r="E740" t="s">
        <v>14</v>
      </c>
      <c r="F740">
        <v>23</v>
      </c>
      <c r="G740" t="s">
        <v>27</v>
      </c>
      <c r="H740">
        <v>5</v>
      </c>
      <c r="I740">
        <v>83</v>
      </c>
      <c r="J740">
        <v>415</v>
      </c>
    </row>
    <row r="741" spans="1:10" x14ac:dyDescent="0.3">
      <c r="A741">
        <v>740</v>
      </c>
      <c r="B741" s="1">
        <v>45666</v>
      </c>
      <c r="C741" t="s">
        <v>759</v>
      </c>
      <c r="D741" t="s">
        <v>1</v>
      </c>
      <c r="E741" t="s">
        <v>19</v>
      </c>
      <c r="F741">
        <v>58</v>
      </c>
      <c r="G741" t="s">
        <v>27</v>
      </c>
      <c r="H741">
        <v>4</v>
      </c>
      <c r="I741">
        <v>490</v>
      </c>
      <c r="J741">
        <v>1960</v>
      </c>
    </row>
    <row r="742" spans="1:10" x14ac:dyDescent="0.3">
      <c r="A742">
        <v>741</v>
      </c>
      <c r="B742" s="1">
        <v>45667</v>
      </c>
      <c r="C742" t="s">
        <v>760</v>
      </c>
      <c r="D742" t="s">
        <v>4</v>
      </c>
      <c r="E742" t="s">
        <v>14</v>
      </c>
      <c r="F742">
        <v>47</v>
      </c>
      <c r="G742" t="s">
        <v>23</v>
      </c>
      <c r="H742">
        <v>3</v>
      </c>
      <c r="I742">
        <v>55</v>
      </c>
      <c r="J742">
        <v>165</v>
      </c>
    </row>
    <row r="743" spans="1:10" x14ac:dyDescent="0.3">
      <c r="A743">
        <v>742</v>
      </c>
      <c r="B743" s="1">
        <v>45668</v>
      </c>
      <c r="C743" t="s">
        <v>761</v>
      </c>
      <c r="D743" t="s">
        <v>4</v>
      </c>
      <c r="E743" t="s">
        <v>14</v>
      </c>
      <c r="F743">
        <v>27</v>
      </c>
      <c r="G743" t="s">
        <v>17</v>
      </c>
      <c r="H743">
        <v>2</v>
      </c>
      <c r="I743">
        <v>326</v>
      </c>
      <c r="J743">
        <v>652</v>
      </c>
    </row>
    <row r="744" spans="1:10" x14ac:dyDescent="0.3">
      <c r="A744">
        <v>743</v>
      </c>
      <c r="B744" s="1">
        <v>45669</v>
      </c>
      <c r="C744" t="s">
        <v>762</v>
      </c>
      <c r="D744" t="s">
        <v>1</v>
      </c>
      <c r="E744" t="s">
        <v>19</v>
      </c>
      <c r="F744">
        <v>52</v>
      </c>
      <c r="G744" t="s">
        <v>20</v>
      </c>
      <c r="H744">
        <v>2</v>
      </c>
      <c r="I744">
        <v>386</v>
      </c>
      <c r="J744">
        <v>772</v>
      </c>
    </row>
    <row r="745" spans="1:10" x14ac:dyDescent="0.3">
      <c r="A745">
        <v>744</v>
      </c>
      <c r="B745" s="1">
        <v>45670</v>
      </c>
      <c r="C745" t="s">
        <v>763</v>
      </c>
      <c r="D745" t="s">
        <v>2</v>
      </c>
      <c r="E745" t="s">
        <v>14</v>
      </c>
      <c r="F745">
        <v>32</v>
      </c>
      <c r="G745" t="s">
        <v>23</v>
      </c>
      <c r="H745">
        <v>2</v>
      </c>
      <c r="I745">
        <v>388</v>
      </c>
      <c r="J745">
        <v>776</v>
      </c>
    </row>
    <row r="746" spans="1:10" x14ac:dyDescent="0.3">
      <c r="A746">
        <v>745</v>
      </c>
      <c r="B746" s="1">
        <v>45671</v>
      </c>
      <c r="C746" t="s">
        <v>764</v>
      </c>
      <c r="D746" t="s">
        <v>2</v>
      </c>
      <c r="E746" t="s">
        <v>19</v>
      </c>
      <c r="F746">
        <v>57</v>
      </c>
      <c r="G746" t="s">
        <v>23</v>
      </c>
      <c r="H746">
        <v>1</v>
      </c>
      <c r="I746">
        <v>165</v>
      </c>
      <c r="J746">
        <v>165</v>
      </c>
    </row>
    <row r="747" spans="1:10" x14ac:dyDescent="0.3">
      <c r="A747">
        <v>746</v>
      </c>
      <c r="B747" s="1">
        <v>45672</v>
      </c>
      <c r="C747" t="s">
        <v>765</v>
      </c>
      <c r="D747" t="s">
        <v>4</v>
      </c>
      <c r="E747" t="s">
        <v>19</v>
      </c>
      <c r="F747">
        <v>47</v>
      </c>
      <c r="G747" t="s">
        <v>17</v>
      </c>
      <c r="H747">
        <v>5</v>
      </c>
      <c r="I747">
        <v>115</v>
      </c>
      <c r="J747">
        <v>575</v>
      </c>
    </row>
    <row r="748" spans="1:10" x14ac:dyDescent="0.3">
      <c r="A748">
        <v>747</v>
      </c>
      <c r="B748" s="1">
        <v>45673</v>
      </c>
      <c r="C748" t="s">
        <v>766</v>
      </c>
      <c r="D748" t="s">
        <v>1</v>
      </c>
      <c r="E748" t="s">
        <v>19</v>
      </c>
      <c r="F748">
        <v>60</v>
      </c>
      <c r="G748" t="s">
        <v>17</v>
      </c>
      <c r="H748">
        <v>3</v>
      </c>
      <c r="I748">
        <v>249</v>
      </c>
      <c r="J748">
        <v>747</v>
      </c>
    </row>
    <row r="749" spans="1:10" x14ac:dyDescent="0.3">
      <c r="A749">
        <v>748</v>
      </c>
      <c r="B749" s="1">
        <v>45674</v>
      </c>
      <c r="C749" t="s">
        <v>767</v>
      </c>
      <c r="D749" t="s">
        <v>2</v>
      </c>
      <c r="E749" t="s">
        <v>14</v>
      </c>
      <c r="F749">
        <v>27</v>
      </c>
      <c r="G749" t="s">
        <v>23</v>
      </c>
      <c r="H749">
        <v>3</v>
      </c>
      <c r="I749">
        <v>170</v>
      </c>
      <c r="J749">
        <v>510</v>
      </c>
    </row>
    <row r="750" spans="1:10" x14ac:dyDescent="0.3">
      <c r="A750">
        <v>749</v>
      </c>
      <c r="B750" s="1">
        <v>45675</v>
      </c>
      <c r="C750" t="s">
        <v>768</v>
      </c>
      <c r="D750" t="s">
        <v>2</v>
      </c>
      <c r="E750" t="s">
        <v>14</v>
      </c>
      <c r="F750">
        <v>45</v>
      </c>
      <c r="G750" t="s">
        <v>20</v>
      </c>
      <c r="H750">
        <v>1</v>
      </c>
      <c r="I750">
        <v>408</v>
      </c>
      <c r="J750">
        <v>408</v>
      </c>
    </row>
    <row r="751" spans="1:10" x14ac:dyDescent="0.3">
      <c r="A751">
        <v>750</v>
      </c>
      <c r="B751" s="1">
        <v>45676</v>
      </c>
      <c r="C751" t="s">
        <v>769</v>
      </c>
      <c r="D751" t="s">
        <v>2</v>
      </c>
      <c r="E751" t="s">
        <v>14</v>
      </c>
      <c r="F751">
        <v>29</v>
      </c>
      <c r="G751" t="s">
        <v>27</v>
      </c>
      <c r="H751">
        <v>4</v>
      </c>
      <c r="I751">
        <v>441</v>
      </c>
      <c r="J751">
        <v>1764</v>
      </c>
    </row>
    <row r="752" spans="1:10" x14ac:dyDescent="0.3">
      <c r="A752">
        <v>751</v>
      </c>
      <c r="B752" s="1">
        <v>45677</v>
      </c>
      <c r="C752" t="s">
        <v>770</v>
      </c>
      <c r="D752" t="s">
        <v>4</v>
      </c>
      <c r="E752" t="s">
        <v>14</v>
      </c>
      <c r="F752">
        <v>39</v>
      </c>
      <c r="G752" t="s">
        <v>23</v>
      </c>
      <c r="H752">
        <v>4</v>
      </c>
      <c r="I752">
        <v>213</v>
      </c>
      <c r="J752">
        <v>852</v>
      </c>
    </row>
    <row r="753" spans="1:10" x14ac:dyDescent="0.3">
      <c r="A753">
        <v>752</v>
      </c>
      <c r="B753" s="1">
        <v>45678</v>
      </c>
      <c r="C753" t="s">
        <v>771</v>
      </c>
      <c r="D753" t="s">
        <v>1</v>
      </c>
      <c r="E753" t="s">
        <v>14</v>
      </c>
      <c r="F753">
        <v>56</v>
      </c>
      <c r="G753" t="s">
        <v>17</v>
      </c>
      <c r="H753">
        <v>4</v>
      </c>
      <c r="I753">
        <v>164</v>
      </c>
      <c r="J753">
        <v>656</v>
      </c>
    </row>
    <row r="754" spans="1:10" x14ac:dyDescent="0.3">
      <c r="A754">
        <v>753</v>
      </c>
      <c r="B754" s="1">
        <v>45679</v>
      </c>
      <c r="C754" t="s">
        <v>772</v>
      </c>
      <c r="D754" t="s">
        <v>3</v>
      </c>
      <c r="E754" t="s">
        <v>19</v>
      </c>
      <c r="F754">
        <v>19</v>
      </c>
      <c r="G754" t="s">
        <v>15</v>
      </c>
      <c r="H754">
        <v>2</v>
      </c>
      <c r="I754">
        <v>297</v>
      </c>
      <c r="J754">
        <v>594</v>
      </c>
    </row>
    <row r="755" spans="1:10" x14ac:dyDescent="0.3">
      <c r="A755">
        <v>754</v>
      </c>
      <c r="B755" s="1">
        <v>45680</v>
      </c>
      <c r="C755" t="s">
        <v>773</v>
      </c>
      <c r="D755" t="s">
        <v>1</v>
      </c>
      <c r="E755" t="s">
        <v>14</v>
      </c>
      <c r="F755">
        <v>50</v>
      </c>
      <c r="G755" t="s">
        <v>23</v>
      </c>
      <c r="H755">
        <v>5</v>
      </c>
      <c r="I755">
        <v>228</v>
      </c>
      <c r="J755">
        <v>1140</v>
      </c>
    </row>
    <row r="756" spans="1:10" x14ac:dyDescent="0.3">
      <c r="A756">
        <v>755</v>
      </c>
      <c r="B756" s="1">
        <v>45681</v>
      </c>
      <c r="C756" t="s">
        <v>774</v>
      </c>
      <c r="D756" t="s">
        <v>1</v>
      </c>
      <c r="E756" t="s">
        <v>14</v>
      </c>
      <c r="F756">
        <v>34</v>
      </c>
      <c r="G756" t="s">
        <v>17</v>
      </c>
      <c r="H756">
        <v>4</v>
      </c>
      <c r="I756">
        <v>460</v>
      </c>
      <c r="J756">
        <v>1840</v>
      </c>
    </row>
    <row r="757" spans="1:10" x14ac:dyDescent="0.3">
      <c r="A757">
        <v>756</v>
      </c>
      <c r="B757" s="1">
        <v>45682</v>
      </c>
      <c r="C757" t="s">
        <v>775</v>
      </c>
      <c r="D757" t="s">
        <v>4</v>
      </c>
      <c r="E757" t="s">
        <v>14</v>
      </c>
      <c r="F757">
        <v>37</v>
      </c>
      <c r="G757" t="s">
        <v>15</v>
      </c>
      <c r="H757">
        <v>3</v>
      </c>
      <c r="I757">
        <v>325</v>
      </c>
      <c r="J757">
        <v>975</v>
      </c>
    </row>
    <row r="758" spans="1:10" x14ac:dyDescent="0.3">
      <c r="A758">
        <v>757</v>
      </c>
      <c r="B758" s="1">
        <v>45683</v>
      </c>
      <c r="C758" t="s">
        <v>776</v>
      </c>
      <c r="D758" t="s">
        <v>2</v>
      </c>
      <c r="E758" t="s">
        <v>14</v>
      </c>
      <c r="F758">
        <v>33</v>
      </c>
      <c r="G758" t="s">
        <v>15</v>
      </c>
      <c r="H758">
        <v>5</v>
      </c>
      <c r="I758">
        <v>466</v>
      </c>
      <c r="J758">
        <v>2330</v>
      </c>
    </row>
    <row r="759" spans="1:10" x14ac:dyDescent="0.3">
      <c r="A759">
        <v>758</v>
      </c>
      <c r="B759" s="1">
        <v>45684</v>
      </c>
      <c r="C759" t="s">
        <v>777</v>
      </c>
      <c r="D759" t="s">
        <v>2</v>
      </c>
      <c r="E759" t="s">
        <v>19</v>
      </c>
      <c r="F759">
        <v>38</v>
      </c>
      <c r="G759" t="s">
        <v>23</v>
      </c>
      <c r="H759">
        <v>3</v>
      </c>
      <c r="I759">
        <v>173</v>
      </c>
      <c r="J759">
        <v>519</v>
      </c>
    </row>
    <row r="760" spans="1:10" x14ac:dyDescent="0.3">
      <c r="A760">
        <v>759</v>
      </c>
      <c r="B760" s="1">
        <v>45685</v>
      </c>
      <c r="C760" t="s">
        <v>778</v>
      </c>
      <c r="D760" t="s">
        <v>4</v>
      </c>
      <c r="E760" t="s">
        <v>14</v>
      </c>
      <c r="F760">
        <v>31</v>
      </c>
      <c r="G760" t="s">
        <v>23</v>
      </c>
      <c r="H760">
        <v>1</v>
      </c>
      <c r="I760">
        <v>164</v>
      </c>
      <c r="J760">
        <v>164</v>
      </c>
    </row>
    <row r="761" spans="1:10" x14ac:dyDescent="0.3">
      <c r="A761">
        <v>760</v>
      </c>
      <c r="B761" s="1">
        <v>45686</v>
      </c>
      <c r="C761" t="s">
        <v>779</v>
      </c>
      <c r="D761" t="s">
        <v>4</v>
      </c>
      <c r="E761" t="s">
        <v>14</v>
      </c>
      <c r="F761">
        <v>52</v>
      </c>
      <c r="G761" t="s">
        <v>27</v>
      </c>
      <c r="H761">
        <v>3</v>
      </c>
      <c r="I761">
        <v>485</v>
      </c>
      <c r="J761">
        <v>1455</v>
      </c>
    </row>
    <row r="762" spans="1:10" x14ac:dyDescent="0.3">
      <c r="A762">
        <v>761</v>
      </c>
      <c r="B762" s="1">
        <v>45687</v>
      </c>
      <c r="C762" t="s">
        <v>780</v>
      </c>
      <c r="D762" t="s">
        <v>4</v>
      </c>
      <c r="E762" t="s">
        <v>19</v>
      </c>
      <c r="F762">
        <v>56</v>
      </c>
      <c r="G762" t="s">
        <v>17</v>
      </c>
      <c r="H762">
        <v>5</v>
      </c>
      <c r="I762">
        <v>321</v>
      </c>
      <c r="J762">
        <v>1605</v>
      </c>
    </row>
    <row r="763" spans="1:10" x14ac:dyDescent="0.3">
      <c r="A763">
        <v>762</v>
      </c>
      <c r="B763" s="1">
        <v>45688</v>
      </c>
      <c r="C763" t="s">
        <v>781</v>
      </c>
      <c r="D763" t="s">
        <v>4</v>
      </c>
      <c r="E763" t="s">
        <v>19</v>
      </c>
      <c r="F763">
        <v>58</v>
      </c>
      <c r="G763" t="s">
        <v>23</v>
      </c>
      <c r="H763">
        <v>4</v>
      </c>
      <c r="I763">
        <v>450</v>
      </c>
      <c r="J763">
        <v>1800</v>
      </c>
    </row>
    <row r="764" spans="1:10" x14ac:dyDescent="0.3">
      <c r="A764">
        <v>763</v>
      </c>
      <c r="B764" s="1">
        <v>45689</v>
      </c>
      <c r="C764" t="s">
        <v>782</v>
      </c>
      <c r="D764" t="s">
        <v>4</v>
      </c>
      <c r="E764" t="s">
        <v>19</v>
      </c>
      <c r="F764">
        <v>47</v>
      </c>
      <c r="G764" t="s">
        <v>15</v>
      </c>
      <c r="H764">
        <v>5</v>
      </c>
      <c r="I764">
        <v>103</v>
      </c>
      <c r="J764">
        <v>515</v>
      </c>
    </row>
    <row r="765" spans="1:10" x14ac:dyDescent="0.3">
      <c r="A765">
        <v>764</v>
      </c>
      <c r="B765" s="1">
        <v>45690</v>
      </c>
      <c r="C765" t="s">
        <v>783</v>
      </c>
      <c r="D765" t="s">
        <v>3</v>
      </c>
      <c r="E765" t="s">
        <v>14</v>
      </c>
      <c r="F765">
        <v>36</v>
      </c>
      <c r="G765" t="s">
        <v>23</v>
      </c>
      <c r="H765">
        <v>3</v>
      </c>
      <c r="I765">
        <v>358</v>
      </c>
      <c r="J765">
        <v>1074</v>
      </c>
    </row>
    <row r="766" spans="1:10" x14ac:dyDescent="0.3">
      <c r="A766">
        <v>765</v>
      </c>
      <c r="B766" s="1">
        <v>45691</v>
      </c>
      <c r="C766" t="s">
        <v>784</v>
      </c>
      <c r="D766" t="s">
        <v>1</v>
      </c>
      <c r="E766" t="s">
        <v>19</v>
      </c>
      <c r="F766">
        <v>28</v>
      </c>
      <c r="G766" t="s">
        <v>15</v>
      </c>
      <c r="H766">
        <v>4</v>
      </c>
      <c r="I766">
        <v>206</v>
      </c>
      <c r="J766">
        <v>824</v>
      </c>
    </row>
    <row r="767" spans="1:10" x14ac:dyDescent="0.3">
      <c r="A767">
        <v>766</v>
      </c>
      <c r="B767" s="1">
        <v>45692</v>
      </c>
      <c r="C767" t="s">
        <v>785</v>
      </c>
      <c r="D767" t="s">
        <v>1</v>
      </c>
      <c r="E767" t="s">
        <v>19</v>
      </c>
      <c r="F767">
        <v>55</v>
      </c>
      <c r="G767" t="s">
        <v>17</v>
      </c>
      <c r="H767">
        <v>3</v>
      </c>
      <c r="I767">
        <v>327</v>
      </c>
      <c r="J767">
        <v>981</v>
      </c>
    </row>
    <row r="768" spans="1:10" x14ac:dyDescent="0.3">
      <c r="A768">
        <v>767</v>
      </c>
      <c r="B768" s="1">
        <v>45693</v>
      </c>
      <c r="C768" t="s">
        <v>786</v>
      </c>
      <c r="D768" t="s">
        <v>1</v>
      </c>
      <c r="E768" t="s">
        <v>19</v>
      </c>
      <c r="F768">
        <v>20</v>
      </c>
      <c r="G768" t="s">
        <v>17</v>
      </c>
      <c r="H768">
        <v>1</v>
      </c>
      <c r="I768">
        <v>100</v>
      </c>
      <c r="J768">
        <v>100</v>
      </c>
    </row>
    <row r="769" spans="1:10" x14ac:dyDescent="0.3">
      <c r="A769">
        <v>768</v>
      </c>
      <c r="B769" s="1">
        <v>45694</v>
      </c>
      <c r="C769" t="s">
        <v>787</v>
      </c>
      <c r="D769" t="s">
        <v>2</v>
      </c>
      <c r="E769" t="s">
        <v>19</v>
      </c>
      <c r="F769">
        <v>38</v>
      </c>
      <c r="G769" t="s">
        <v>15</v>
      </c>
      <c r="H769">
        <v>3</v>
      </c>
      <c r="I769">
        <v>418</v>
      </c>
      <c r="J769">
        <v>1254</v>
      </c>
    </row>
    <row r="770" spans="1:10" x14ac:dyDescent="0.3">
      <c r="A770">
        <v>769</v>
      </c>
      <c r="B770" s="1">
        <v>45695</v>
      </c>
      <c r="C770" t="s">
        <v>788</v>
      </c>
      <c r="D770" t="s">
        <v>3</v>
      </c>
      <c r="E770" t="s">
        <v>14</v>
      </c>
      <c r="F770">
        <v>60</v>
      </c>
      <c r="G770" t="s">
        <v>23</v>
      </c>
      <c r="H770">
        <v>2</v>
      </c>
      <c r="I770">
        <v>162</v>
      </c>
      <c r="J770">
        <v>324</v>
      </c>
    </row>
    <row r="771" spans="1:10" x14ac:dyDescent="0.3">
      <c r="A771">
        <v>770</v>
      </c>
      <c r="B771" s="1">
        <v>45696</v>
      </c>
      <c r="C771" t="s">
        <v>789</v>
      </c>
      <c r="D771" t="s">
        <v>1</v>
      </c>
      <c r="E771" t="s">
        <v>19</v>
      </c>
      <c r="F771">
        <v>51</v>
      </c>
      <c r="G771" t="s">
        <v>23</v>
      </c>
      <c r="H771">
        <v>3</v>
      </c>
      <c r="I771">
        <v>244</v>
      </c>
      <c r="J771">
        <v>732</v>
      </c>
    </row>
    <row r="772" spans="1:10" x14ac:dyDescent="0.3">
      <c r="A772">
        <v>771</v>
      </c>
      <c r="B772" s="1">
        <v>45697</v>
      </c>
      <c r="C772" t="s">
        <v>790</v>
      </c>
      <c r="D772" t="s">
        <v>2</v>
      </c>
      <c r="E772" t="s">
        <v>19</v>
      </c>
      <c r="F772">
        <v>40</v>
      </c>
      <c r="G772" t="s">
        <v>15</v>
      </c>
      <c r="H772">
        <v>2</v>
      </c>
      <c r="I772">
        <v>478</v>
      </c>
      <c r="J772">
        <v>956</v>
      </c>
    </row>
    <row r="773" spans="1:10" x14ac:dyDescent="0.3">
      <c r="A773">
        <v>772</v>
      </c>
      <c r="B773" s="1">
        <v>45698</v>
      </c>
      <c r="C773" t="s">
        <v>791</v>
      </c>
      <c r="D773" t="s">
        <v>3</v>
      </c>
      <c r="E773" t="s">
        <v>19</v>
      </c>
      <c r="F773">
        <v>38</v>
      </c>
      <c r="G773" t="s">
        <v>23</v>
      </c>
      <c r="H773">
        <v>1</v>
      </c>
      <c r="I773">
        <v>411</v>
      </c>
      <c r="J773">
        <v>411</v>
      </c>
    </row>
    <row r="774" spans="1:10" x14ac:dyDescent="0.3">
      <c r="A774">
        <v>773</v>
      </c>
      <c r="B774" s="1">
        <v>45699</v>
      </c>
      <c r="C774" t="s">
        <v>792</v>
      </c>
      <c r="D774" t="s">
        <v>3</v>
      </c>
      <c r="E774" t="s">
        <v>14</v>
      </c>
      <c r="F774">
        <v>27</v>
      </c>
      <c r="G774" t="s">
        <v>23</v>
      </c>
      <c r="H774">
        <v>3</v>
      </c>
      <c r="I774">
        <v>344</v>
      </c>
      <c r="J774">
        <v>1032</v>
      </c>
    </row>
    <row r="775" spans="1:10" x14ac:dyDescent="0.3">
      <c r="A775">
        <v>774</v>
      </c>
      <c r="B775" s="1">
        <v>45700</v>
      </c>
      <c r="C775" t="s">
        <v>793</v>
      </c>
      <c r="D775" t="s">
        <v>2</v>
      </c>
      <c r="E775" t="s">
        <v>14</v>
      </c>
      <c r="F775">
        <v>54</v>
      </c>
      <c r="G775" t="s">
        <v>17</v>
      </c>
      <c r="H775">
        <v>4</v>
      </c>
      <c r="I775">
        <v>166</v>
      </c>
      <c r="J775">
        <v>664</v>
      </c>
    </row>
    <row r="776" spans="1:10" x14ac:dyDescent="0.3">
      <c r="A776">
        <v>775</v>
      </c>
      <c r="B776" s="1">
        <v>45701</v>
      </c>
      <c r="C776" t="s">
        <v>794</v>
      </c>
      <c r="D776" t="s">
        <v>3</v>
      </c>
      <c r="E776" t="s">
        <v>14</v>
      </c>
      <c r="F776">
        <v>46</v>
      </c>
      <c r="G776" t="s">
        <v>20</v>
      </c>
      <c r="H776">
        <v>3</v>
      </c>
      <c r="I776">
        <v>106</v>
      </c>
      <c r="J776">
        <v>318</v>
      </c>
    </row>
    <row r="777" spans="1:10" x14ac:dyDescent="0.3">
      <c r="A777">
        <v>776</v>
      </c>
      <c r="B777" s="1">
        <v>45702</v>
      </c>
      <c r="C777" t="s">
        <v>795</v>
      </c>
      <c r="D777" t="s">
        <v>2</v>
      </c>
      <c r="E777" t="s">
        <v>19</v>
      </c>
      <c r="F777">
        <v>33</v>
      </c>
      <c r="G777" t="s">
        <v>20</v>
      </c>
      <c r="H777">
        <v>2</v>
      </c>
      <c r="I777">
        <v>144</v>
      </c>
      <c r="J777">
        <v>288</v>
      </c>
    </row>
    <row r="778" spans="1:10" x14ac:dyDescent="0.3">
      <c r="A778">
        <v>777</v>
      </c>
      <c r="B778" s="1">
        <v>45703</v>
      </c>
      <c r="C778" t="s">
        <v>796</v>
      </c>
      <c r="D778" t="s">
        <v>1</v>
      </c>
      <c r="E778" t="s">
        <v>19</v>
      </c>
      <c r="F778">
        <v>27</v>
      </c>
      <c r="G778" t="s">
        <v>15</v>
      </c>
      <c r="H778">
        <v>2</v>
      </c>
      <c r="I778">
        <v>302</v>
      </c>
      <c r="J778">
        <v>604</v>
      </c>
    </row>
    <row r="779" spans="1:10" x14ac:dyDescent="0.3">
      <c r="A779">
        <v>778</v>
      </c>
      <c r="B779" s="1">
        <v>45704</v>
      </c>
      <c r="C779" t="s">
        <v>797</v>
      </c>
      <c r="D779" t="s">
        <v>2</v>
      </c>
      <c r="E779" t="s">
        <v>19</v>
      </c>
      <c r="F779">
        <v>29</v>
      </c>
      <c r="G779" t="s">
        <v>15</v>
      </c>
      <c r="H779">
        <v>3</v>
      </c>
      <c r="I779">
        <v>262</v>
      </c>
      <c r="J779">
        <v>786</v>
      </c>
    </row>
    <row r="780" spans="1:10" x14ac:dyDescent="0.3">
      <c r="A780">
        <v>779</v>
      </c>
      <c r="B780" s="1">
        <v>45705</v>
      </c>
      <c r="C780" t="s">
        <v>798</v>
      </c>
      <c r="D780" t="s">
        <v>3</v>
      </c>
      <c r="E780" t="s">
        <v>19</v>
      </c>
      <c r="F780">
        <v>35</v>
      </c>
      <c r="G780" t="s">
        <v>15</v>
      </c>
      <c r="H780">
        <v>5</v>
      </c>
      <c r="I780">
        <v>140</v>
      </c>
      <c r="J780">
        <v>700</v>
      </c>
    </row>
    <row r="781" spans="1:10" x14ac:dyDescent="0.3">
      <c r="A781">
        <v>780</v>
      </c>
      <c r="B781" s="1">
        <v>45706</v>
      </c>
      <c r="C781" t="s">
        <v>799</v>
      </c>
      <c r="D781" t="s">
        <v>1</v>
      </c>
      <c r="E781" t="s">
        <v>14</v>
      </c>
      <c r="F781">
        <v>29</v>
      </c>
      <c r="G781" t="s">
        <v>23</v>
      </c>
      <c r="H781">
        <v>3</v>
      </c>
      <c r="I781">
        <v>372</v>
      </c>
      <c r="J781">
        <v>1116</v>
      </c>
    </row>
    <row r="782" spans="1:10" x14ac:dyDescent="0.3">
      <c r="A782">
        <v>781</v>
      </c>
      <c r="B782" s="1">
        <v>45707</v>
      </c>
      <c r="C782" t="s">
        <v>800</v>
      </c>
      <c r="D782" t="s">
        <v>1</v>
      </c>
      <c r="E782" t="s">
        <v>19</v>
      </c>
      <c r="F782">
        <v>23</v>
      </c>
      <c r="G782" t="s">
        <v>23</v>
      </c>
      <c r="H782">
        <v>4</v>
      </c>
      <c r="I782">
        <v>468</v>
      </c>
      <c r="J782">
        <v>1872</v>
      </c>
    </row>
    <row r="783" spans="1:10" x14ac:dyDescent="0.3">
      <c r="A783">
        <v>782</v>
      </c>
      <c r="B783" s="1">
        <v>45708</v>
      </c>
      <c r="C783" t="s">
        <v>801</v>
      </c>
      <c r="D783" t="s">
        <v>4</v>
      </c>
      <c r="E783" t="s">
        <v>19</v>
      </c>
      <c r="F783">
        <v>51</v>
      </c>
      <c r="G783" t="s">
        <v>20</v>
      </c>
      <c r="H783">
        <v>2</v>
      </c>
      <c r="I783">
        <v>283</v>
      </c>
      <c r="J783">
        <v>566</v>
      </c>
    </row>
    <row r="784" spans="1:10" x14ac:dyDescent="0.3">
      <c r="A784">
        <v>783</v>
      </c>
      <c r="B784" s="1">
        <v>45709</v>
      </c>
      <c r="C784" t="s">
        <v>802</v>
      </c>
      <c r="D784" t="s">
        <v>4</v>
      </c>
      <c r="E784" t="s">
        <v>14</v>
      </c>
      <c r="F784">
        <v>43</v>
      </c>
      <c r="G784" t="s">
        <v>27</v>
      </c>
      <c r="H784">
        <v>1</v>
      </c>
      <c r="I784">
        <v>158</v>
      </c>
      <c r="J784">
        <v>158</v>
      </c>
    </row>
    <row r="785" spans="1:10" x14ac:dyDescent="0.3">
      <c r="A785">
        <v>784</v>
      </c>
      <c r="B785" s="1">
        <v>45710</v>
      </c>
      <c r="C785" t="s">
        <v>803</v>
      </c>
      <c r="D785" t="s">
        <v>3</v>
      </c>
      <c r="E785" t="s">
        <v>19</v>
      </c>
      <c r="F785">
        <v>20</v>
      </c>
      <c r="G785" t="s">
        <v>20</v>
      </c>
      <c r="H785">
        <v>2</v>
      </c>
      <c r="I785">
        <v>440</v>
      </c>
      <c r="J785">
        <v>880</v>
      </c>
    </row>
    <row r="786" spans="1:10" x14ac:dyDescent="0.3">
      <c r="A786">
        <v>785</v>
      </c>
      <c r="B786" s="1">
        <v>45711</v>
      </c>
      <c r="C786" t="s">
        <v>804</v>
      </c>
      <c r="D786" t="s">
        <v>2</v>
      </c>
      <c r="E786" t="s">
        <v>14</v>
      </c>
      <c r="F786">
        <v>44</v>
      </c>
      <c r="G786" t="s">
        <v>17</v>
      </c>
      <c r="H786">
        <v>3</v>
      </c>
      <c r="I786">
        <v>245</v>
      </c>
      <c r="J786">
        <v>735</v>
      </c>
    </row>
    <row r="787" spans="1:10" x14ac:dyDescent="0.3">
      <c r="A787">
        <v>786</v>
      </c>
      <c r="B787" s="1">
        <v>45712</v>
      </c>
      <c r="C787" t="s">
        <v>805</v>
      </c>
      <c r="D787" t="s">
        <v>2</v>
      </c>
      <c r="E787" t="s">
        <v>19</v>
      </c>
      <c r="F787">
        <v>53</v>
      </c>
      <c r="G787" t="s">
        <v>17</v>
      </c>
      <c r="H787">
        <v>2</v>
      </c>
      <c r="I787">
        <v>84</v>
      </c>
      <c r="J787">
        <v>168</v>
      </c>
    </row>
    <row r="788" spans="1:10" x14ac:dyDescent="0.3">
      <c r="A788">
        <v>787</v>
      </c>
      <c r="B788" s="1">
        <v>45713</v>
      </c>
      <c r="C788" t="s">
        <v>806</v>
      </c>
      <c r="D788" t="s">
        <v>3</v>
      </c>
      <c r="E788" t="s">
        <v>19</v>
      </c>
      <c r="F788">
        <v>42</v>
      </c>
      <c r="G788" t="s">
        <v>27</v>
      </c>
      <c r="H788">
        <v>2</v>
      </c>
      <c r="I788">
        <v>262</v>
      </c>
      <c r="J788">
        <v>524</v>
      </c>
    </row>
    <row r="789" spans="1:10" x14ac:dyDescent="0.3">
      <c r="A789">
        <v>788</v>
      </c>
      <c r="B789" s="1">
        <v>45714</v>
      </c>
      <c r="C789" t="s">
        <v>807</v>
      </c>
      <c r="D789" t="s">
        <v>1</v>
      </c>
      <c r="E789" t="s">
        <v>19</v>
      </c>
      <c r="F789">
        <v>24</v>
      </c>
      <c r="G789" t="s">
        <v>17</v>
      </c>
      <c r="H789">
        <v>4</v>
      </c>
      <c r="I789">
        <v>68</v>
      </c>
      <c r="J789">
        <v>272</v>
      </c>
    </row>
    <row r="790" spans="1:10" x14ac:dyDescent="0.3">
      <c r="A790">
        <v>789</v>
      </c>
      <c r="B790" s="1">
        <v>45715</v>
      </c>
      <c r="C790" t="s">
        <v>808</v>
      </c>
      <c r="D790" t="s">
        <v>3</v>
      </c>
      <c r="E790" t="s">
        <v>14</v>
      </c>
      <c r="F790">
        <v>57</v>
      </c>
      <c r="G790" t="s">
        <v>20</v>
      </c>
      <c r="H790">
        <v>5</v>
      </c>
      <c r="I790">
        <v>392</v>
      </c>
      <c r="J790">
        <v>1960</v>
      </c>
    </row>
    <row r="791" spans="1:10" x14ac:dyDescent="0.3">
      <c r="A791">
        <v>790</v>
      </c>
      <c r="B791" s="1">
        <v>45716</v>
      </c>
      <c r="C791" t="s">
        <v>809</v>
      </c>
      <c r="D791" t="s">
        <v>3</v>
      </c>
      <c r="E791" t="s">
        <v>19</v>
      </c>
      <c r="F791">
        <v>45</v>
      </c>
      <c r="G791" t="s">
        <v>17</v>
      </c>
      <c r="H791">
        <v>1</v>
      </c>
      <c r="I791">
        <v>325</v>
      </c>
      <c r="J791">
        <v>325</v>
      </c>
    </row>
    <row r="792" spans="1:10" x14ac:dyDescent="0.3">
      <c r="A792">
        <v>791</v>
      </c>
      <c r="B792" s="1">
        <v>45717</v>
      </c>
      <c r="C792" t="s">
        <v>810</v>
      </c>
      <c r="D792" t="s">
        <v>1</v>
      </c>
      <c r="E792" t="s">
        <v>14</v>
      </c>
      <c r="F792">
        <v>50</v>
      </c>
      <c r="G792" t="s">
        <v>15</v>
      </c>
      <c r="H792">
        <v>3</v>
      </c>
      <c r="I792">
        <v>278</v>
      </c>
      <c r="J792">
        <v>834</v>
      </c>
    </row>
    <row r="793" spans="1:10" x14ac:dyDescent="0.3">
      <c r="A793">
        <v>792</v>
      </c>
      <c r="B793" s="1">
        <v>45718</v>
      </c>
      <c r="C793" t="s">
        <v>811</v>
      </c>
      <c r="D793" t="s">
        <v>2</v>
      </c>
      <c r="E793" t="s">
        <v>14</v>
      </c>
      <c r="F793">
        <v>40</v>
      </c>
      <c r="G793" t="s">
        <v>17</v>
      </c>
      <c r="H793">
        <v>1</v>
      </c>
      <c r="I793">
        <v>273</v>
      </c>
      <c r="J793">
        <v>273</v>
      </c>
    </row>
    <row r="794" spans="1:10" x14ac:dyDescent="0.3">
      <c r="A794">
        <v>793</v>
      </c>
      <c r="B794" s="1">
        <v>45719</v>
      </c>
      <c r="C794" t="s">
        <v>812</v>
      </c>
      <c r="D794" t="s">
        <v>3</v>
      </c>
      <c r="E794" t="s">
        <v>19</v>
      </c>
      <c r="F794">
        <v>30</v>
      </c>
      <c r="G794" t="s">
        <v>15</v>
      </c>
      <c r="H794">
        <v>1</v>
      </c>
      <c r="I794">
        <v>373</v>
      </c>
      <c r="J794">
        <v>373</v>
      </c>
    </row>
    <row r="795" spans="1:10" x14ac:dyDescent="0.3">
      <c r="A795">
        <v>794</v>
      </c>
      <c r="B795" s="1">
        <v>45720</v>
      </c>
      <c r="C795" t="s">
        <v>813</v>
      </c>
      <c r="D795" t="s">
        <v>2</v>
      </c>
      <c r="E795" t="s">
        <v>19</v>
      </c>
      <c r="F795">
        <v>44</v>
      </c>
      <c r="G795" t="s">
        <v>20</v>
      </c>
      <c r="H795">
        <v>2</v>
      </c>
      <c r="I795">
        <v>398</v>
      </c>
      <c r="J795">
        <v>796</v>
      </c>
    </row>
    <row r="796" spans="1:10" x14ac:dyDescent="0.3">
      <c r="A796">
        <v>795</v>
      </c>
      <c r="B796" s="1">
        <v>45721</v>
      </c>
      <c r="C796" t="s">
        <v>814</v>
      </c>
      <c r="D796" t="s">
        <v>3</v>
      </c>
      <c r="E796" t="s">
        <v>14</v>
      </c>
      <c r="F796">
        <v>18</v>
      </c>
      <c r="G796" t="s">
        <v>20</v>
      </c>
      <c r="H796">
        <v>5</v>
      </c>
      <c r="I796">
        <v>326</v>
      </c>
      <c r="J796">
        <v>1630</v>
      </c>
    </row>
    <row r="797" spans="1:10" x14ac:dyDescent="0.3">
      <c r="A797">
        <v>796</v>
      </c>
      <c r="B797" s="1">
        <v>45722</v>
      </c>
      <c r="C797" t="s">
        <v>815</v>
      </c>
      <c r="D797" t="s">
        <v>1</v>
      </c>
      <c r="E797" t="s">
        <v>19</v>
      </c>
      <c r="F797">
        <v>51</v>
      </c>
      <c r="G797" t="s">
        <v>20</v>
      </c>
      <c r="H797">
        <v>2</v>
      </c>
      <c r="I797">
        <v>180</v>
      </c>
      <c r="J797">
        <v>360</v>
      </c>
    </row>
    <row r="798" spans="1:10" x14ac:dyDescent="0.3">
      <c r="A798">
        <v>797</v>
      </c>
      <c r="B798" s="1">
        <v>45723</v>
      </c>
      <c r="C798" t="s">
        <v>816</v>
      </c>
      <c r="D798" t="s">
        <v>1</v>
      </c>
      <c r="E798" t="s">
        <v>14</v>
      </c>
      <c r="F798">
        <v>43</v>
      </c>
      <c r="G798" t="s">
        <v>17</v>
      </c>
      <c r="H798">
        <v>1</v>
      </c>
      <c r="I798">
        <v>447</v>
      </c>
      <c r="J798">
        <v>447</v>
      </c>
    </row>
    <row r="799" spans="1:10" x14ac:dyDescent="0.3">
      <c r="A799">
        <v>798</v>
      </c>
      <c r="B799" s="1">
        <v>45724</v>
      </c>
      <c r="C799" t="s">
        <v>817</v>
      </c>
      <c r="D799" t="s">
        <v>4</v>
      </c>
      <c r="E799" t="s">
        <v>19</v>
      </c>
      <c r="F799">
        <v>41</v>
      </c>
      <c r="G799" t="s">
        <v>27</v>
      </c>
      <c r="H799">
        <v>5</v>
      </c>
      <c r="I799">
        <v>398</v>
      </c>
      <c r="J799">
        <v>1990</v>
      </c>
    </row>
    <row r="800" spans="1:10" x14ac:dyDescent="0.3">
      <c r="A800">
        <v>799</v>
      </c>
      <c r="B800" s="1">
        <v>45725</v>
      </c>
      <c r="C800" t="s">
        <v>818</v>
      </c>
      <c r="D800" t="s">
        <v>1</v>
      </c>
      <c r="E800" t="s">
        <v>14</v>
      </c>
      <c r="F800">
        <v>46</v>
      </c>
      <c r="G800" t="s">
        <v>17</v>
      </c>
      <c r="H800">
        <v>1</v>
      </c>
      <c r="I800">
        <v>158</v>
      </c>
      <c r="J800">
        <v>158</v>
      </c>
    </row>
    <row r="801" spans="1:10" x14ac:dyDescent="0.3">
      <c r="A801">
        <v>800</v>
      </c>
      <c r="B801" s="1">
        <v>45726</v>
      </c>
      <c r="C801" t="s">
        <v>819</v>
      </c>
      <c r="D801" t="s">
        <v>4</v>
      </c>
      <c r="E801" t="s">
        <v>14</v>
      </c>
      <c r="F801">
        <v>59</v>
      </c>
      <c r="G801" t="s">
        <v>20</v>
      </c>
      <c r="H801">
        <v>1</v>
      </c>
      <c r="I801">
        <v>208</v>
      </c>
      <c r="J801">
        <v>208</v>
      </c>
    </row>
    <row r="802" spans="1:10" x14ac:dyDescent="0.3">
      <c r="A802">
        <v>801</v>
      </c>
      <c r="B802" s="1">
        <v>45727</v>
      </c>
      <c r="C802" t="s">
        <v>820</v>
      </c>
      <c r="D802" t="s">
        <v>3</v>
      </c>
      <c r="E802" t="s">
        <v>19</v>
      </c>
      <c r="F802">
        <v>20</v>
      </c>
      <c r="G802" t="s">
        <v>20</v>
      </c>
      <c r="H802">
        <v>4</v>
      </c>
      <c r="I802">
        <v>21</v>
      </c>
      <c r="J802">
        <v>84</v>
      </c>
    </row>
    <row r="803" spans="1:10" x14ac:dyDescent="0.3">
      <c r="A803">
        <v>802</v>
      </c>
      <c r="B803" s="1">
        <v>45728</v>
      </c>
      <c r="C803" t="s">
        <v>821</v>
      </c>
      <c r="D803" t="s">
        <v>2</v>
      </c>
      <c r="E803" t="s">
        <v>19</v>
      </c>
      <c r="F803">
        <v>59</v>
      </c>
      <c r="G803" t="s">
        <v>17</v>
      </c>
      <c r="H803">
        <v>5</v>
      </c>
      <c r="I803">
        <v>145</v>
      </c>
      <c r="J803">
        <v>725</v>
      </c>
    </row>
    <row r="804" spans="1:10" x14ac:dyDescent="0.3">
      <c r="A804">
        <v>803</v>
      </c>
      <c r="B804" s="1">
        <v>45729</v>
      </c>
      <c r="C804" t="s">
        <v>822</v>
      </c>
      <c r="D804" t="s">
        <v>1</v>
      </c>
      <c r="E804" t="s">
        <v>19</v>
      </c>
      <c r="F804">
        <v>44</v>
      </c>
      <c r="G804" t="s">
        <v>17</v>
      </c>
      <c r="H804">
        <v>4</v>
      </c>
      <c r="I804">
        <v>494</v>
      </c>
      <c r="J804">
        <v>1976</v>
      </c>
    </row>
    <row r="805" spans="1:10" x14ac:dyDescent="0.3">
      <c r="A805">
        <v>804</v>
      </c>
      <c r="B805" s="1">
        <v>45730</v>
      </c>
      <c r="C805" t="s">
        <v>823</v>
      </c>
      <c r="D805" t="s">
        <v>1</v>
      </c>
      <c r="E805" t="s">
        <v>14</v>
      </c>
      <c r="F805">
        <v>22</v>
      </c>
      <c r="G805" t="s">
        <v>17</v>
      </c>
      <c r="H805">
        <v>4</v>
      </c>
      <c r="I805">
        <v>352</v>
      </c>
      <c r="J805">
        <v>1408</v>
      </c>
    </row>
    <row r="806" spans="1:10" x14ac:dyDescent="0.3">
      <c r="A806">
        <v>805</v>
      </c>
      <c r="B806" s="1">
        <v>45731</v>
      </c>
      <c r="C806" t="s">
        <v>824</v>
      </c>
      <c r="D806" t="s">
        <v>1</v>
      </c>
      <c r="E806" t="s">
        <v>19</v>
      </c>
      <c r="F806">
        <v>39</v>
      </c>
      <c r="G806" t="s">
        <v>15</v>
      </c>
      <c r="H806">
        <v>3</v>
      </c>
      <c r="I806">
        <v>111</v>
      </c>
      <c r="J806">
        <v>333</v>
      </c>
    </row>
    <row r="807" spans="1:10" x14ac:dyDescent="0.3">
      <c r="A807">
        <v>806</v>
      </c>
      <c r="B807" s="1">
        <v>45732</v>
      </c>
      <c r="C807" t="s">
        <v>825</v>
      </c>
      <c r="D807" t="s">
        <v>3</v>
      </c>
      <c r="E807" t="s">
        <v>19</v>
      </c>
      <c r="F807">
        <v>26</v>
      </c>
      <c r="G807" t="s">
        <v>20</v>
      </c>
      <c r="H807">
        <v>2</v>
      </c>
      <c r="I807">
        <v>493</v>
      </c>
      <c r="J807">
        <v>986</v>
      </c>
    </row>
    <row r="808" spans="1:10" x14ac:dyDescent="0.3">
      <c r="A808">
        <v>807</v>
      </c>
      <c r="B808" s="1">
        <v>45733</v>
      </c>
      <c r="C808" t="s">
        <v>826</v>
      </c>
      <c r="D808" t="s">
        <v>4</v>
      </c>
      <c r="E808" t="s">
        <v>19</v>
      </c>
      <c r="F808">
        <v>55</v>
      </c>
      <c r="G808" t="s">
        <v>27</v>
      </c>
      <c r="H808">
        <v>1</v>
      </c>
      <c r="I808">
        <v>83</v>
      </c>
      <c r="J808">
        <v>83</v>
      </c>
    </row>
    <row r="809" spans="1:10" x14ac:dyDescent="0.3">
      <c r="A809">
        <v>808</v>
      </c>
      <c r="B809" s="1">
        <v>45734</v>
      </c>
      <c r="C809" t="s">
        <v>827</v>
      </c>
      <c r="D809" t="s">
        <v>3</v>
      </c>
      <c r="E809" t="s">
        <v>14</v>
      </c>
      <c r="F809">
        <v>30</v>
      </c>
      <c r="G809" t="s">
        <v>17</v>
      </c>
      <c r="H809">
        <v>4</v>
      </c>
      <c r="I809">
        <v>48</v>
      </c>
      <c r="J809">
        <v>192</v>
      </c>
    </row>
    <row r="810" spans="1:10" x14ac:dyDescent="0.3">
      <c r="A810">
        <v>809</v>
      </c>
      <c r="B810" s="1">
        <v>45735</v>
      </c>
      <c r="C810" t="s">
        <v>828</v>
      </c>
      <c r="D810" t="s">
        <v>2</v>
      </c>
      <c r="E810" t="s">
        <v>19</v>
      </c>
      <c r="F810">
        <v>58</v>
      </c>
      <c r="G810" t="s">
        <v>20</v>
      </c>
      <c r="H810">
        <v>3</v>
      </c>
      <c r="I810">
        <v>389</v>
      </c>
      <c r="J810">
        <v>1167</v>
      </c>
    </row>
    <row r="811" spans="1:10" x14ac:dyDescent="0.3">
      <c r="A811">
        <v>810</v>
      </c>
      <c r="B811" s="1">
        <v>45736</v>
      </c>
      <c r="C811" t="s">
        <v>829</v>
      </c>
      <c r="D811" t="s">
        <v>3</v>
      </c>
      <c r="E811" t="s">
        <v>19</v>
      </c>
      <c r="F811">
        <v>29</v>
      </c>
      <c r="G811" t="s">
        <v>17</v>
      </c>
      <c r="H811">
        <v>5</v>
      </c>
      <c r="I811">
        <v>378</v>
      </c>
      <c r="J811">
        <v>1890</v>
      </c>
    </row>
    <row r="812" spans="1:10" x14ac:dyDescent="0.3">
      <c r="A812">
        <v>811</v>
      </c>
      <c r="B812" s="1">
        <v>45737</v>
      </c>
      <c r="C812" t="s">
        <v>830</v>
      </c>
      <c r="D812" t="s">
        <v>2</v>
      </c>
      <c r="E812" t="s">
        <v>19</v>
      </c>
      <c r="F812">
        <v>18</v>
      </c>
      <c r="G812" t="s">
        <v>15</v>
      </c>
      <c r="H812">
        <v>5</v>
      </c>
      <c r="I812">
        <v>498</v>
      </c>
      <c r="J812">
        <v>2490</v>
      </c>
    </row>
    <row r="813" spans="1:10" x14ac:dyDescent="0.3">
      <c r="A813">
        <v>812</v>
      </c>
      <c r="B813" s="1">
        <v>45738</v>
      </c>
      <c r="C813" t="s">
        <v>831</v>
      </c>
      <c r="D813" t="s">
        <v>1</v>
      </c>
      <c r="E813" t="s">
        <v>14</v>
      </c>
      <c r="F813">
        <v>42</v>
      </c>
      <c r="G813" t="s">
        <v>20</v>
      </c>
      <c r="H813">
        <v>4</v>
      </c>
      <c r="I813">
        <v>476</v>
      </c>
      <c r="J813">
        <v>1904</v>
      </c>
    </row>
    <row r="814" spans="1:10" x14ac:dyDescent="0.3">
      <c r="A814">
        <v>813</v>
      </c>
      <c r="B814" s="1">
        <v>45739</v>
      </c>
      <c r="C814" t="s">
        <v>832</v>
      </c>
      <c r="D814" t="s">
        <v>2</v>
      </c>
      <c r="E814" t="s">
        <v>14</v>
      </c>
      <c r="F814">
        <v>25</v>
      </c>
      <c r="G814" t="s">
        <v>15</v>
      </c>
      <c r="H814">
        <v>5</v>
      </c>
      <c r="I814">
        <v>393</v>
      </c>
      <c r="J814">
        <v>1965</v>
      </c>
    </row>
    <row r="815" spans="1:10" x14ac:dyDescent="0.3">
      <c r="A815">
        <v>814</v>
      </c>
      <c r="B815" s="1">
        <v>45740</v>
      </c>
      <c r="C815" t="s">
        <v>833</v>
      </c>
      <c r="D815" t="s">
        <v>2</v>
      </c>
      <c r="E815" t="s">
        <v>19</v>
      </c>
      <c r="F815">
        <v>31</v>
      </c>
      <c r="G815" t="s">
        <v>17</v>
      </c>
      <c r="H815">
        <v>2</v>
      </c>
      <c r="I815">
        <v>27</v>
      </c>
      <c r="J815">
        <v>54</v>
      </c>
    </row>
    <row r="816" spans="1:10" x14ac:dyDescent="0.3">
      <c r="A816">
        <v>815</v>
      </c>
      <c r="B816" s="1">
        <v>45741</v>
      </c>
      <c r="C816" t="s">
        <v>834</v>
      </c>
      <c r="D816" t="s">
        <v>4</v>
      </c>
      <c r="E816" t="s">
        <v>14</v>
      </c>
      <c r="F816">
        <v>18</v>
      </c>
      <c r="G816" t="s">
        <v>15</v>
      </c>
      <c r="H816">
        <v>5</v>
      </c>
      <c r="I816">
        <v>334</v>
      </c>
      <c r="J816">
        <v>1670</v>
      </c>
    </row>
    <row r="817" spans="1:10" x14ac:dyDescent="0.3">
      <c r="A817">
        <v>816</v>
      </c>
      <c r="B817" s="1">
        <v>45742</v>
      </c>
      <c r="C817" t="s">
        <v>835</v>
      </c>
      <c r="D817" t="s">
        <v>2</v>
      </c>
      <c r="E817" t="s">
        <v>19</v>
      </c>
      <c r="F817">
        <v>46</v>
      </c>
      <c r="G817" t="s">
        <v>15</v>
      </c>
      <c r="H817">
        <v>5</v>
      </c>
      <c r="I817">
        <v>114</v>
      </c>
      <c r="J817">
        <v>570</v>
      </c>
    </row>
    <row r="818" spans="1:10" x14ac:dyDescent="0.3">
      <c r="A818">
        <v>817</v>
      </c>
      <c r="B818" s="1">
        <v>45743</v>
      </c>
      <c r="C818" t="s">
        <v>836</v>
      </c>
      <c r="D818" t="s">
        <v>2</v>
      </c>
      <c r="E818" t="s">
        <v>14</v>
      </c>
      <c r="F818">
        <v>60</v>
      </c>
      <c r="G818" t="s">
        <v>23</v>
      </c>
      <c r="H818">
        <v>1</v>
      </c>
      <c r="I818">
        <v>90</v>
      </c>
      <c r="J818">
        <v>90</v>
      </c>
    </row>
    <row r="819" spans="1:10" x14ac:dyDescent="0.3">
      <c r="A819">
        <v>818</v>
      </c>
      <c r="B819" s="1">
        <v>45744</v>
      </c>
      <c r="C819" t="s">
        <v>837</v>
      </c>
      <c r="D819" t="s">
        <v>3</v>
      </c>
      <c r="E819" t="s">
        <v>19</v>
      </c>
      <c r="F819">
        <v>25</v>
      </c>
      <c r="G819" t="s">
        <v>27</v>
      </c>
      <c r="H819">
        <v>4</v>
      </c>
      <c r="I819">
        <v>295</v>
      </c>
      <c r="J819">
        <v>1180</v>
      </c>
    </row>
    <row r="820" spans="1:10" x14ac:dyDescent="0.3">
      <c r="A820">
        <v>819</v>
      </c>
      <c r="B820" s="1">
        <v>45745</v>
      </c>
      <c r="C820" t="s">
        <v>838</v>
      </c>
      <c r="D820" t="s">
        <v>1</v>
      </c>
      <c r="E820" t="s">
        <v>14</v>
      </c>
      <c r="F820">
        <v>50</v>
      </c>
      <c r="G820" t="s">
        <v>20</v>
      </c>
      <c r="H820">
        <v>3</v>
      </c>
      <c r="I820">
        <v>140</v>
      </c>
      <c r="J820">
        <v>420</v>
      </c>
    </row>
    <row r="821" spans="1:10" x14ac:dyDescent="0.3">
      <c r="A821">
        <v>820</v>
      </c>
      <c r="B821" s="1">
        <v>45746</v>
      </c>
      <c r="C821" t="s">
        <v>839</v>
      </c>
      <c r="D821" t="s">
        <v>3</v>
      </c>
      <c r="E821" t="s">
        <v>19</v>
      </c>
      <c r="F821">
        <v>55</v>
      </c>
      <c r="G821" t="s">
        <v>17</v>
      </c>
      <c r="H821">
        <v>5</v>
      </c>
      <c r="I821">
        <v>107</v>
      </c>
      <c r="J821">
        <v>535</v>
      </c>
    </row>
    <row r="822" spans="1:10" x14ac:dyDescent="0.3">
      <c r="A822">
        <v>821</v>
      </c>
      <c r="B822" s="1">
        <v>45747</v>
      </c>
      <c r="C822" t="s">
        <v>840</v>
      </c>
      <c r="D822" t="s">
        <v>3</v>
      </c>
      <c r="E822" t="s">
        <v>19</v>
      </c>
      <c r="F822">
        <v>40</v>
      </c>
      <c r="G822" t="s">
        <v>20</v>
      </c>
      <c r="H822">
        <v>2</v>
      </c>
      <c r="I822">
        <v>315</v>
      </c>
      <c r="J822">
        <v>630</v>
      </c>
    </row>
    <row r="823" spans="1:10" x14ac:dyDescent="0.3">
      <c r="A823">
        <v>822</v>
      </c>
      <c r="B823" s="1">
        <v>45748</v>
      </c>
      <c r="C823" t="s">
        <v>841</v>
      </c>
      <c r="D823" t="s">
        <v>1</v>
      </c>
      <c r="E823" t="s">
        <v>19</v>
      </c>
      <c r="F823">
        <v>38</v>
      </c>
      <c r="G823" t="s">
        <v>27</v>
      </c>
      <c r="H823">
        <v>5</v>
      </c>
      <c r="I823">
        <v>271</v>
      </c>
      <c r="J823">
        <v>1355</v>
      </c>
    </row>
    <row r="824" spans="1:10" x14ac:dyDescent="0.3">
      <c r="A824">
        <v>823</v>
      </c>
      <c r="B824" s="1">
        <v>45749</v>
      </c>
      <c r="C824" t="s">
        <v>842</v>
      </c>
      <c r="D824" t="s">
        <v>1</v>
      </c>
      <c r="E824" t="s">
        <v>19</v>
      </c>
      <c r="F824">
        <v>27</v>
      </c>
      <c r="G824" t="s">
        <v>27</v>
      </c>
      <c r="H824">
        <v>4</v>
      </c>
      <c r="I824">
        <v>453</v>
      </c>
      <c r="J824">
        <v>1812</v>
      </c>
    </row>
    <row r="825" spans="1:10" x14ac:dyDescent="0.3">
      <c r="A825">
        <v>824</v>
      </c>
      <c r="B825" s="1">
        <v>45750</v>
      </c>
      <c r="C825" t="s">
        <v>843</v>
      </c>
      <c r="D825" t="s">
        <v>2</v>
      </c>
      <c r="E825" t="s">
        <v>19</v>
      </c>
      <c r="F825">
        <v>48</v>
      </c>
      <c r="G825" t="s">
        <v>23</v>
      </c>
      <c r="H825">
        <v>4</v>
      </c>
      <c r="I825">
        <v>183</v>
      </c>
      <c r="J825">
        <v>732</v>
      </c>
    </row>
    <row r="826" spans="1:10" x14ac:dyDescent="0.3">
      <c r="A826">
        <v>825</v>
      </c>
      <c r="B826" s="1">
        <v>45751</v>
      </c>
      <c r="C826" t="s">
        <v>844</v>
      </c>
      <c r="D826" t="s">
        <v>2</v>
      </c>
      <c r="E826" t="s">
        <v>14</v>
      </c>
      <c r="F826">
        <v>22</v>
      </c>
      <c r="G826" t="s">
        <v>17</v>
      </c>
      <c r="H826">
        <v>4</v>
      </c>
      <c r="I826">
        <v>342</v>
      </c>
      <c r="J826">
        <v>1368</v>
      </c>
    </row>
    <row r="827" spans="1:10" x14ac:dyDescent="0.3">
      <c r="A827">
        <v>826</v>
      </c>
      <c r="B827" s="1">
        <v>45752</v>
      </c>
      <c r="C827" t="s">
        <v>845</v>
      </c>
      <c r="D827" t="s">
        <v>4</v>
      </c>
      <c r="E827" t="s">
        <v>14</v>
      </c>
      <c r="F827">
        <v>32</v>
      </c>
      <c r="G827" t="s">
        <v>27</v>
      </c>
      <c r="H827">
        <v>2</v>
      </c>
      <c r="I827">
        <v>64</v>
      </c>
      <c r="J827">
        <v>128</v>
      </c>
    </row>
    <row r="828" spans="1:10" x14ac:dyDescent="0.3">
      <c r="A828">
        <v>827</v>
      </c>
      <c r="B828" s="1">
        <v>45753</v>
      </c>
      <c r="C828" t="s">
        <v>846</v>
      </c>
      <c r="D828" t="s">
        <v>3</v>
      </c>
      <c r="E828" t="s">
        <v>14</v>
      </c>
      <c r="F828">
        <v>28</v>
      </c>
      <c r="G828" t="s">
        <v>27</v>
      </c>
      <c r="H828">
        <v>5</v>
      </c>
      <c r="I828">
        <v>225</v>
      </c>
      <c r="J828">
        <v>1125</v>
      </c>
    </row>
    <row r="829" spans="1:10" x14ac:dyDescent="0.3">
      <c r="A829">
        <v>828</v>
      </c>
      <c r="B829" s="1">
        <v>45754</v>
      </c>
      <c r="C829" t="s">
        <v>847</v>
      </c>
      <c r="D829" t="s">
        <v>1</v>
      </c>
      <c r="E829" t="s">
        <v>19</v>
      </c>
      <c r="F829">
        <v>41</v>
      </c>
      <c r="G829" t="s">
        <v>17</v>
      </c>
      <c r="H829">
        <v>4</v>
      </c>
      <c r="I829">
        <v>427</v>
      </c>
      <c r="J829">
        <v>1708</v>
      </c>
    </row>
    <row r="830" spans="1:10" x14ac:dyDescent="0.3">
      <c r="A830">
        <v>829</v>
      </c>
      <c r="B830" s="1">
        <v>45755</v>
      </c>
      <c r="C830" t="s">
        <v>848</v>
      </c>
      <c r="D830" t="s">
        <v>2</v>
      </c>
      <c r="E830" t="s">
        <v>14</v>
      </c>
      <c r="F830">
        <v>37</v>
      </c>
      <c r="G830" t="s">
        <v>20</v>
      </c>
      <c r="H830">
        <v>1</v>
      </c>
      <c r="I830">
        <v>124</v>
      </c>
      <c r="J830">
        <v>124</v>
      </c>
    </row>
    <row r="831" spans="1:10" x14ac:dyDescent="0.3">
      <c r="A831">
        <v>830</v>
      </c>
      <c r="B831" s="1">
        <v>45756</v>
      </c>
      <c r="C831" t="s">
        <v>849</v>
      </c>
      <c r="D831" t="s">
        <v>1</v>
      </c>
      <c r="E831" t="s">
        <v>19</v>
      </c>
      <c r="F831">
        <v>38</v>
      </c>
      <c r="G831" t="s">
        <v>20</v>
      </c>
      <c r="H831">
        <v>4</v>
      </c>
      <c r="I831">
        <v>94</v>
      </c>
      <c r="J831">
        <v>376</v>
      </c>
    </row>
    <row r="832" spans="1:10" x14ac:dyDescent="0.3">
      <c r="A832">
        <v>831</v>
      </c>
      <c r="B832" s="1">
        <v>45757</v>
      </c>
      <c r="C832" t="s">
        <v>850</v>
      </c>
      <c r="D832" t="s">
        <v>2</v>
      </c>
      <c r="E832" t="s">
        <v>14</v>
      </c>
      <c r="F832">
        <v>58</v>
      </c>
      <c r="G832" t="s">
        <v>15</v>
      </c>
      <c r="H832">
        <v>4</v>
      </c>
      <c r="I832">
        <v>482</v>
      </c>
      <c r="J832">
        <v>1928</v>
      </c>
    </row>
    <row r="833" spans="1:10" x14ac:dyDescent="0.3">
      <c r="A833">
        <v>832</v>
      </c>
      <c r="B833" s="1">
        <v>45758</v>
      </c>
      <c r="C833" t="s">
        <v>851</v>
      </c>
      <c r="D833" t="s">
        <v>4</v>
      </c>
      <c r="E833" t="s">
        <v>19</v>
      </c>
      <c r="F833">
        <v>25</v>
      </c>
      <c r="G833" t="s">
        <v>23</v>
      </c>
      <c r="H833">
        <v>4</v>
      </c>
      <c r="I833">
        <v>177</v>
      </c>
      <c r="J833">
        <v>708</v>
      </c>
    </row>
    <row r="834" spans="1:10" x14ac:dyDescent="0.3">
      <c r="A834">
        <v>833</v>
      </c>
      <c r="B834" s="1">
        <v>45759</v>
      </c>
      <c r="C834" t="s">
        <v>852</v>
      </c>
      <c r="D834" t="s">
        <v>4</v>
      </c>
      <c r="E834" t="s">
        <v>19</v>
      </c>
      <c r="F834">
        <v>24</v>
      </c>
      <c r="G834" t="s">
        <v>15</v>
      </c>
      <c r="H834">
        <v>1</v>
      </c>
      <c r="I834">
        <v>142</v>
      </c>
      <c r="J834">
        <v>142</v>
      </c>
    </row>
    <row r="835" spans="1:10" x14ac:dyDescent="0.3">
      <c r="A835">
        <v>834</v>
      </c>
      <c r="B835" s="1">
        <v>45760</v>
      </c>
      <c r="C835" t="s">
        <v>853</v>
      </c>
      <c r="D835" t="s">
        <v>1</v>
      </c>
      <c r="E835" t="s">
        <v>19</v>
      </c>
      <c r="F835">
        <v>19</v>
      </c>
      <c r="G835" t="s">
        <v>17</v>
      </c>
      <c r="H835">
        <v>3</v>
      </c>
      <c r="I835">
        <v>64</v>
      </c>
      <c r="J835">
        <v>192</v>
      </c>
    </row>
    <row r="836" spans="1:10" x14ac:dyDescent="0.3">
      <c r="A836">
        <v>835</v>
      </c>
      <c r="B836" s="1">
        <v>45761</v>
      </c>
      <c r="C836" t="s">
        <v>854</v>
      </c>
      <c r="D836" t="s">
        <v>4</v>
      </c>
      <c r="E836" t="s">
        <v>19</v>
      </c>
      <c r="F836">
        <v>51</v>
      </c>
      <c r="G836" t="s">
        <v>23</v>
      </c>
      <c r="H836">
        <v>2</v>
      </c>
      <c r="I836">
        <v>251</v>
      </c>
      <c r="J836">
        <v>502</v>
      </c>
    </row>
    <row r="837" spans="1:10" x14ac:dyDescent="0.3">
      <c r="A837">
        <v>836</v>
      </c>
      <c r="B837" s="1">
        <v>45762</v>
      </c>
      <c r="C837" t="s">
        <v>855</v>
      </c>
      <c r="D837" t="s">
        <v>1</v>
      </c>
      <c r="E837" t="s">
        <v>19</v>
      </c>
      <c r="F837">
        <v>34</v>
      </c>
      <c r="G837" t="s">
        <v>15</v>
      </c>
      <c r="H837">
        <v>3</v>
      </c>
      <c r="I837">
        <v>442</v>
      </c>
      <c r="J837">
        <v>1326</v>
      </c>
    </row>
    <row r="838" spans="1:10" x14ac:dyDescent="0.3">
      <c r="A838">
        <v>837</v>
      </c>
      <c r="B838" s="1">
        <v>45763</v>
      </c>
      <c r="C838" t="s">
        <v>856</v>
      </c>
      <c r="D838" t="s">
        <v>2</v>
      </c>
      <c r="E838" t="s">
        <v>14</v>
      </c>
      <c r="F838">
        <v>43</v>
      </c>
      <c r="G838" t="s">
        <v>17</v>
      </c>
      <c r="H838">
        <v>2</v>
      </c>
      <c r="I838">
        <v>476</v>
      </c>
      <c r="J838">
        <v>952</v>
      </c>
    </row>
    <row r="839" spans="1:10" x14ac:dyDescent="0.3">
      <c r="A839">
        <v>838</v>
      </c>
      <c r="B839" s="1">
        <v>45764</v>
      </c>
      <c r="C839" t="s">
        <v>857</v>
      </c>
      <c r="D839" t="s">
        <v>3</v>
      </c>
      <c r="E839" t="s">
        <v>14</v>
      </c>
      <c r="F839">
        <v>52</v>
      </c>
      <c r="G839" t="s">
        <v>15</v>
      </c>
      <c r="H839">
        <v>2</v>
      </c>
      <c r="I839">
        <v>464</v>
      </c>
      <c r="J839">
        <v>928</v>
      </c>
    </row>
    <row r="840" spans="1:10" x14ac:dyDescent="0.3">
      <c r="A840">
        <v>839</v>
      </c>
      <c r="B840" s="1">
        <v>45765</v>
      </c>
      <c r="C840" t="s">
        <v>858</v>
      </c>
      <c r="D840" t="s">
        <v>4</v>
      </c>
      <c r="E840" t="s">
        <v>19</v>
      </c>
      <c r="F840">
        <v>53</v>
      </c>
      <c r="G840" t="s">
        <v>17</v>
      </c>
      <c r="H840">
        <v>2</v>
      </c>
      <c r="I840">
        <v>326</v>
      </c>
      <c r="J840">
        <v>652</v>
      </c>
    </row>
    <row r="841" spans="1:10" x14ac:dyDescent="0.3">
      <c r="A841">
        <v>840</v>
      </c>
      <c r="B841" s="1">
        <v>45766</v>
      </c>
      <c r="C841" t="s">
        <v>859</v>
      </c>
      <c r="D841" t="s">
        <v>2</v>
      </c>
      <c r="E841" t="s">
        <v>19</v>
      </c>
      <c r="F841">
        <v>48</v>
      </c>
      <c r="G841" t="s">
        <v>20</v>
      </c>
      <c r="H841">
        <v>4</v>
      </c>
      <c r="I841">
        <v>433</v>
      </c>
      <c r="J841">
        <v>1732</v>
      </c>
    </row>
    <row r="842" spans="1:10" x14ac:dyDescent="0.3">
      <c r="A842">
        <v>841</v>
      </c>
      <c r="B842" s="1">
        <v>45767</v>
      </c>
      <c r="C842" t="s">
        <v>860</v>
      </c>
      <c r="D842" t="s">
        <v>3</v>
      </c>
      <c r="E842" t="s">
        <v>14</v>
      </c>
      <c r="F842">
        <v>26</v>
      </c>
      <c r="G842" t="s">
        <v>15</v>
      </c>
      <c r="H842">
        <v>5</v>
      </c>
      <c r="I842">
        <v>219</v>
      </c>
      <c r="J842">
        <v>1095</v>
      </c>
    </row>
    <row r="843" spans="1:10" x14ac:dyDescent="0.3">
      <c r="A843">
        <v>842</v>
      </c>
      <c r="B843" s="1">
        <v>45768</v>
      </c>
      <c r="C843" t="s">
        <v>861</v>
      </c>
      <c r="D843" t="s">
        <v>3</v>
      </c>
      <c r="E843" t="s">
        <v>19</v>
      </c>
      <c r="F843">
        <v>42</v>
      </c>
      <c r="G843" t="s">
        <v>27</v>
      </c>
      <c r="H843">
        <v>5</v>
      </c>
      <c r="I843">
        <v>496</v>
      </c>
      <c r="J843">
        <v>2480</v>
      </c>
    </row>
    <row r="844" spans="1:10" x14ac:dyDescent="0.3">
      <c r="A844">
        <v>843</v>
      </c>
      <c r="B844" s="1">
        <v>45769</v>
      </c>
      <c r="C844" t="s">
        <v>862</v>
      </c>
      <c r="D844" t="s">
        <v>3</v>
      </c>
      <c r="E844" t="s">
        <v>19</v>
      </c>
      <c r="F844">
        <v>51</v>
      </c>
      <c r="G844" t="s">
        <v>20</v>
      </c>
      <c r="H844">
        <v>5</v>
      </c>
      <c r="I844">
        <v>293</v>
      </c>
      <c r="J844">
        <v>1465</v>
      </c>
    </row>
    <row r="845" spans="1:10" x14ac:dyDescent="0.3">
      <c r="A845">
        <v>844</v>
      </c>
      <c r="B845" s="1">
        <v>45770</v>
      </c>
      <c r="C845" t="s">
        <v>863</v>
      </c>
      <c r="D845" t="s">
        <v>2</v>
      </c>
      <c r="E845" t="s">
        <v>14</v>
      </c>
      <c r="F845">
        <v>57</v>
      </c>
      <c r="G845" t="s">
        <v>27</v>
      </c>
      <c r="H845">
        <v>1</v>
      </c>
      <c r="I845">
        <v>481</v>
      </c>
      <c r="J845">
        <v>481</v>
      </c>
    </row>
    <row r="846" spans="1:10" x14ac:dyDescent="0.3">
      <c r="A846">
        <v>845</v>
      </c>
      <c r="B846" s="1">
        <v>45771</v>
      </c>
      <c r="C846" t="s">
        <v>864</v>
      </c>
      <c r="D846" t="s">
        <v>2</v>
      </c>
      <c r="E846" t="s">
        <v>19</v>
      </c>
      <c r="F846">
        <v>51</v>
      </c>
      <c r="G846" t="s">
        <v>20</v>
      </c>
      <c r="H846">
        <v>2</v>
      </c>
      <c r="I846">
        <v>126</v>
      </c>
      <c r="J846">
        <v>252</v>
      </c>
    </row>
    <row r="847" spans="1:10" x14ac:dyDescent="0.3">
      <c r="A847">
        <v>846</v>
      </c>
      <c r="B847" s="1">
        <v>45772</v>
      </c>
      <c r="C847" t="s">
        <v>865</v>
      </c>
      <c r="D847" t="s">
        <v>1</v>
      </c>
      <c r="E847" t="s">
        <v>19</v>
      </c>
      <c r="F847">
        <v>45</v>
      </c>
      <c r="G847" t="s">
        <v>27</v>
      </c>
      <c r="H847">
        <v>5</v>
      </c>
      <c r="I847">
        <v>397</v>
      </c>
      <c r="J847">
        <v>1985</v>
      </c>
    </row>
    <row r="848" spans="1:10" x14ac:dyDescent="0.3">
      <c r="A848">
        <v>847</v>
      </c>
      <c r="B848" s="1">
        <v>45773</v>
      </c>
      <c r="C848" t="s">
        <v>866</v>
      </c>
      <c r="D848" t="s">
        <v>3</v>
      </c>
      <c r="E848" t="s">
        <v>19</v>
      </c>
      <c r="F848">
        <v>34</v>
      </c>
      <c r="G848" t="s">
        <v>17</v>
      </c>
      <c r="H848">
        <v>2</v>
      </c>
      <c r="I848">
        <v>490</v>
      </c>
      <c r="J848">
        <v>980</v>
      </c>
    </row>
    <row r="849" spans="1:10" x14ac:dyDescent="0.3">
      <c r="A849">
        <v>848</v>
      </c>
      <c r="B849" s="1">
        <v>45774</v>
      </c>
      <c r="C849" t="s">
        <v>867</v>
      </c>
      <c r="D849" t="s">
        <v>3</v>
      </c>
      <c r="E849" t="s">
        <v>19</v>
      </c>
      <c r="F849">
        <v>19</v>
      </c>
      <c r="G849" t="s">
        <v>27</v>
      </c>
      <c r="H849">
        <v>4</v>
      </c>
      <c r="I849">
        <v>304</v>
      </c>
      <c r="J849">
        <v>1216</v>
      </c>
    </row>
    <row r="850" spans="1:10" x14ac:dyDescent="0.3">
      <c r="A850">
        <v>849</v>
      </c>
      <c r="B850" s="1">
        <v>45775</v>
      </c>
      <c r="C850" t="s">
        <v>868</v>
      </c>
      <c r="D850" t="s">
        <v>3</v>
      </c>
      <c r="E850" t="s">
        <v>19</v>
      </c>
      <c r="F850">
        <v>37</v>
      </c>
      <c r="G850" t="s">
        <v>27</v>
      </c>
      <c r="H850">
        <v>2</v>
      </c>
      <c r="I850">
        <v>103</v>
      </c>
      <c r="J850">
        <v>206</v>
      </c>
    </row>
    <row r="851" spans="1:10" x14ac:dyDescent="0.3">
      <c r="A851">
        <v>850</v>
      </c>
      <c r="B851" s="1">
        <v>45776</v>
      </c>
      <c r="C851" t="s">
        <v>869</v>
      </c>
      <c r="D851" t="s">
        <v>1</v>
      </c>
      <c r="E851" t="s">
        <v>19</v>
      </c>
      <c r="F851">
        <v>51</v>
      </c>
      <c r="G851" t="s">
        <v>15</v>
      </c>
      <c r="H851">
        <v>3</v>
      </c>
      <c r="I851">
        <v>68</v>
      </c>
      <c r="J851">
        <v>204</v>
      </c>
    </row>
    <row r="852" spans="1:10" x14ac:dyDescent="0.3">
      <c r="A852">
        <v>851</v>
      </c>
      <c r="B852" s="1">
        <v>45777</v>
      </c>
      <c r="C852" t="s">
        <v>870</v>
      </c>
      <c r="D852" t="s">
        <v>3</v>
      </c>
      <c r="E852" t="s">
        <v>19</v>
      </c>
      <c r="F852">
        <v>53</v>
      </c>
      <c r="G852" t="s">
        <v>17</v>
      </c>
      <c r="H852">
        <v>1</v>
      </c>
      <c r="I852">
        <v>384</v>
      </c>
      <c r="J852">
        <v>384</v>
      </c>
    </row>
    <row r="853" spans="1:10" x14ac:dyDescent="0.3">
      <c r="A853">
        <v>852</v>
      </c>
      <c r="B853" s="1">
        <v>45778</v>
      </c>
      <c r="C853" t="s">
        <v>871</v>
      </c>
      <c r="D853" t="s">
        <v>2</v>
      </c>
      <c r="E853" t="s">
        <v>14</v>
      </c>
      <c r="F853">
        <v>60</v>
      </c>
      <c r="G853" t="s">
        <v>20</v>
      </c>
      <c r="H853">
        <v>2</v>
      </c>
      <c r="I853">
        <v>247</v>
      </c>
      <c r="J853">
        <v>494</v>
      </c>
    </row>
    <row r="854" spans="1:10" x14ac:dyDescent="0.3">
      <c r="A854">
        <v>853</v>
      </c>
      <c r="B854" s="1">
        <v>45779</v>
      </c>
      <c r="C854" t="s">
        <v>872</v>
      </c>
      <c r="D854" t="s">
        <v>3</v>
      </c>
      <c r="E854" t="s">
        <v>19</v>
      </c>
      <c r="F854">
        <v>37</v>
      </c>
      <c r="G854" t="s">
        <v>23</v>
      </c>
      <c r="H854">
        <v>3</v>
      </c>
      <c r="I854">
        <v>87</v>
      </c>
      <c r="J854">
        <v>261</v>
      </c>
    </row>
    <row r="855" spans="1:10" x14ac:dyDescent="0.3">
      <c r="A855">
        <v>854</v>
      </c>
      <c r="B855" s="1">
        <v>45780</v>
      </c>
      <c r="C855" t="s">
        <v>873</v>
      </c>
      <c r="D855" t="s">
        <v>4</v>
      </c>
      <c r="E855" t="s">
        <v>14</v>
      </c>
      <c r="F855">
        <v>56</v>
      </c>
      <c r="G855" t="s">
        <v>27</v>
      </c>
      <c r="H855">
        <v>1</v>
      </c>
      <c r="I855">
        <v>40</v>
      </c>
      <c r="J855">
        <v>40</v>
      </c>
    </row>
    <row r="856" spans="1:10" x14ac:dyDescent="0.3">
      <c r="A856">
        <v>855</v>
      </c>
      <c r="B856" s="1">
        <v>45781</v>
      </c>
      <c r="C856" t="s">
        <v>874</v>
      </c>
      <c r="D856" t="s">
        <v>2</v>
      </c>
      <c r="E856" t="s">
        <v>19</v>
      </c>
      <c r="F856">
        <v>37</v>
      </c>
      <c r="G856" t="s">
        <v>15</v>
      </c>
      <c r="H856">
        <v>5</v>
      </c>
      <c r="I856">
        <v>451</v>
      </c>
      <c r="J856">
        <v>2255</v>
      </c>
    </row>
    <row r="857" spans="1:10" x14ac:dyDescent="0.3">
      <c r="A857">
        <v>856</v>
      </c>
      <c r="B857" s="1">
        <v>45782</v>
      </c>
      <c r="C857" t="s">
        <v>875</v>
      </c>
      <c r="D857" t="s">
        <v>1</v>
      </c>
      <c r="E857" t="s">
        <v>14</v>
      </c>
      <c r="F857">
        <v>44</v>
      </c>
      <c r="G857" t="s">
        <v>17</v>
      </c>
      <c r="H857">
        <v>1</v>
      </c>
      <c r="I857">
        <v>379</v>
      </c>
      <c r="J857">
        <v>379</v>
      </c>
    </row>
    <row r="858" spans="1:10" x14ac:dyDescent="0.3">
      <c r="A858">
        <v>857</v>
      </c>
      <c r="B858" s="1">
        <v>45783</v>
      </c>
      <c r="C858" t="s">
        <v>876</v>
      </c>
      <c r="D858" t="s">
        <v>3</v>
      </c>
      <c r="E858" t="s">
        <v>14</v>
      </c>
      <c r="F858">
        <v>58</v>
      </c>
      <c r="G858" t="s">
        <v>15</v>
      </c>
      <c r="H858">
        <v>4</v>
      </c>
      <c r="I858">
        <v>410</v>
      </c>
      <c r="J858">
        <v>1640</v>
      </c>
    </row>
    <row r="859" spans="1:10" x14ac:dyDescent="0.3">
      <c r="A859">
        <v>858</v>
      </c>
      <c r="B859" s="1">
        <v>45784</v>
      </c>
      <c r="C859" t="s">
        <v>877</v>
      </c>
      <c r="D859" t="s">
        <v>4</v>
      </c>
      <c r="E859" t="s">
        <v>14</v>
      </c>
      <c r="F859">
        <v>30</v>
      </c>
      <c r="G859" t="s">
        <v>23</v>
      </c>
      <c r="H859">
        <v>3</v>
      </c>
      <c r="I859">
        <v>308</v>
      </c>
      <c r="J859">
        <v>924</v>
      </c>
    </row>
    <row r="860" spans="1:10" x14ac:dyDescent="0.3">
      <c r="A860">
        <v>859</v>
      </c>
      <c r="B860" s="1">
        <v>45785</v>
      </c>
      <c r="C860" t="s">
        <v>878</v>
      </c>
      <c r="D860" t="s">
        <v>1</v>
      </c>
      <c r="E860" t="s">
        <v>14</v>
      </c>
      <c r="F860">
        <v>40</v>
      </c>
      <c r="G860" t="s">
        <v>17</v>
      </c>
      <c r="H860">
        <v>2</v>
      </c>
      <c r="I860">
        <v>305</v>
      </c>
      <c r="J860">
        <v>610</v>
      </c>
    </row>
    <row r="861" spans="1:10" x14ac:dyDescent="0.3">
      <c r="A861">
        <v>860</v>
      </c>
      <c r="B861" s="1">
        <v>45786</v>
      </c>
      <c r="C861" t="s">
        <v>879</v>
      </c>
      <c r="D861" t="s">
        <v>1</v>
      </c>
      <c r="E861" t="s">
        <v>14</v>
      </c>
      <c r="F861">
        <v>39</v>
      </c>
      <c r="G861" t="s">
        <v>27</v>
      </c>
      <c r="H861">
        <v>4</v>
      </c>
      <c r="I861">
        <v>377</v>
      </c>
      <c r="J861">
        <v>1508</v>
      </c>
    </row>
    <row r="862" spans="1:10" x14ac:dyDescent="0.3">
      <c r="A862">
        <v>861</v>
      </c>
      <c r="B862" s="1">
        <v>45787</v>
      </c>
      <c r="C862" t="s">
        <v>880</v>
      </c>
      <c r="D862" t="s">
        <v>2</v>
      </c>
      <c r="E862" t="s">
        <v>19</v>
      </c>
      <c r="F862">
        <v>52</v>
      </c>
      <c r="G862" t="s">
        <v>23</v>
      </c>
      <c r="H862">
        <v>2</v>
      </c>
      <c r="I862">
        <v>209</v>
      </c>
      <c r="J862">
        <v>418</v>
      </c>
    </row>
    <row r="863" spans="1:10" x14ac:dyDescent="0.3">
      <c r="A863">
        <v>862</v>
      </c>
      <c r="B863" s="1">
        <v>45788</v>
      </c>
      <c r="C863" t="s">
        <v>881</v>
      </c>
      <c r="D863" t="s">
        <v>1</v>
      </c>
      <c r="E863" t="s">
        <v>19</v>
      </c>
      <c r="F863">
        <v>45</v>
      </c>
      <c r="G863" t="s">
        <v>17</v>
      </c>
      <c r="H863">
        <v>3</v>
      </c>
      <c r="I863">
        <v>104</v>
      </c>
      <c r="J863">
        <v>312</v>
      </c>
    </row>
    <row r="864" spans="1:10" x14ac:dyDescent="0.3">
      <c r="A864">
        <v>863</v>
      </c>
      <c r="B864" s="1">
        <v>45789</v>
      </c>
      <c r="C864" t="s">
        <v>882</v>
      </c>
      <c r="D864" t="s">
        <v>1</v>
      </c>
      <c r="E864" t="s">
        <v>14</v>
      </c>
      <c r="F864">
        <v>25</v>
      </c>
      <c r="G864" t="s">
        <v>23</v>
      </c>
      <c r="H864">
        <v>2</v>
      </c>
      <c r="I864">
        <v>481</v>
      </c>
      <c r="J864">
        <v>962</v>
      </c>
    </row>
    <row r="865" spans="1:10" x14ac:dyDescent="0.3">
      <c r="A865">
        <v>864</v>
      </c>
      <c r="B865" s="1">
        <v>45790</v>
      </c>
      <c r="C865" t="s">
        <v>883</v>
      </c>
      <c r="D865" t="s">
        <v>1</v>
      </c>
      <c r="E865" t="s">
        <v>14</v>
      </c>
      <c r="F865">
        <v>20</v>
      </c>
      <c r="G865" t="s">
        <v>15</v>
      </c>
      <c r="H865">
        <v>4</v>
      </c>
      <c r="I865">
        <v>425</v>
      </c>
      <c r="J865">
        <v>1700</v>
      </c>
    </row>
    <row r="866" spans="1:10" x14ac:dyDescent="0.3">
      <c r="A866">
        <v>865</v>
      </c>
      <c r="B866" s="1">
        <v>45791</v>
      </c>
      <c r="C866" t="s">
        <v>884</v>
      </c>
      <c r="D866" t="s">
        <v>1</v>
      </c>
      <c r="E866" t="s">
        <v>14</v>
      </c>
      <c r="F866">
        <v>43</v>
      </c>
      <c r="G866" t="s">
        <v>17</v>
      </c>
      <c r="H866">
        <v>2</v>
      </c>
      <c r="I866">
        <v>309</v>
      </c>
      <c r="J866">
        <v>618</v>
      </c>
    </row>
    <row r="867" spans="1:10" x14ac:dyDescent="0.3">
      <c r="A867">
        <v>866</v>
      </c>
      <c r="B867" s="1">
        <v>45792</v>
      </c>
      <c r="C867" t="s">
        <v>885</v>
      </c>
      <c r="D867" t="s">
        <v>3</v>
      </c>
      <c r="E867" t="s">
        <v>19</v>
      </c>
      <c r="F867">
        <v>44</v>
      </c>
      <c r="G867" t="s">
        <v>20</v>
      </c>
      <c r="H867">
        <v>2</v>
      </c>
      <c r="I867">
        <v>67</v>
      </c>
      <c r="J867">
        <v>134</v>
      </c>
    </row>
    <row r="868" spans="1:10" x14ac:dyDescent="0.3">
      <c r="A868">
        <v>867</v>
      </c>
      <c r="B868" s="1">
        <v>45793</v>
      </c>
      <c r="C868" t="s">
        <v>886</v>
      </c>
      <c r="D868" t="s">
        <v>3</v>
      </c>
      <c r="E868" t="s">
        <v>14</v>
      </c>
      <c r="F868">
        <v>47</v>
      </c>
      <c r="G868" t="s">
        <v>20</v>
      </c>
      <c r="H868">
        <v>4</v>
      </c>
      <c r="I868">
        <v>474</v>
      </c>
      <c r="J868">
        <v>1896</v>
      </c>
    </row>
    <row r="869" spans="1:10" x14ac:dyDescent="0.3">
      <c r="A869">
        <v>868</v>
      </c>
      <c r="B869" s="1">
        <v>45794</v>
      </c>
      <c r="C869" t="s">
        <v>887</v>
      </c>
      <c r="D869" t="s">
        <v>3</v>
      </c>
      <c r="E869" t="s">
        <v>19</v>
      </c>
      <c r="F869">
        <v>19</v>
      </c>
      <c r="G869" t="s">
        <v>17</v>
      </c>
      <c r="H869">
        <v>5</v>
      </c>
      <c r="I869">
        <v>167</v>
      </c>
      <c r="J869">
        <v>835</v>
      </c>
    </row>
    <row r="870" spans="1:10" x14ac:dyDescent="0.3">
      <c r="A870">
        <v>869</v>
      </c>
      <c r="B870" s="1">
        <v>45795</v>
      </c>
      <c r="C870" t="s">
        <v>888</v>
      </c>
      <c r="D870" t="s">
        <v>3</v>
      </c>
      <c r="E870" t="s">
        <v>19</v>
      </c>
      <c r="F870">
        <v>46</v>
      </c>
      <c r="G870" t="s">
        <v>27</v>
      </c>
      <c r="H870">
        <v>4</v>
      </c>
      <c r="I870">
        <v>317</v>
      </c>
      <c r="J870">
        <v>1268</v>
      </c>
    </row>
    <row r="871" spans="1:10" x14ac:dyDescent="0.3">
      <c r="A871">
        <v>870</v>
      </c>
      <c r="B871" s="1">
        <v>45796</v>
      </c>
      <c r="C871" t="s">
        <v>889</v>
      </c>
      <c r="D871" t="s">
        <v>4</v>
      </c>
      <c r="E871" t="s">
        <v>14</v>
      </c>
      <c r="F871">
        <v>58</v>
      </c>
      <c r="G871" t="s">
        <v>17</v>
      </c>
      <c r="H871">
        <v>4</v>
      </c>
      <c r="I871">
        <v>447</v>
      </c>
      <c r="J871">
        <v>1788</v>
      </c>
    </row>
    <row r="872" spans="1:10" x14ac:dyDescent="0.3">
      <c r="A872">
        <v>871</v>
      </c>
      <c r="B872" s="1">
        <v>45797</v>
      </c>
      <c r="C872" t="s">
        <v>890</v>
      </c>
      <c r="D872" t="s">
        <v>3</v>
      </c>
      <c r="E872" t="s">
        <v>14</v>
      </c>
      <c r="F872">
        <v>34</v>
      </c>
      <c r="G872" t="s">
        <v>20</v>
      </c>
      <c r="H872">
        <v>5</v>
      </c>
      <c r="I872">
        <v>100</v>
      </c>
      <c r="J872">
        <v>500</v>
      </c>
    </row>
    <row r="873" spans="1:10" x14ac:dyDescent="0.3">
      <c r="A873">
        <v>872</v>
      </c>
      <c r="B873" s="1">
        <v>45798</v>
      </c>
      <c r="C873" t="s">
        <v>891</v>
      </c>
      <c r="D873" t="s">
        <v>1</v>
      </c>
      <c r="E873" t="s">
        <v>19</v>
      </c>
      <c r="F873">
        <v>52</v>
      </c>
      <c r="G873" t="s">
        <v>20</v>
      </c>
      <c r="H873">
        <v>4</v>
      </c>
      <c r="I873">
        <v>307</v>
      </c>
      <c r="J873">
        <v>1228</v>
      </c>
    </row>
    <row r="874" spans="1:10" x14ac:dyDescent="0.3">
      <c r="A874">
        <v>873</v>
      </c>
      <c r="B874" s="1">
        <v>45799</v>
      </c>
      <c r="C874" t="s">
        <v>892</v>
      </c>
      <c r="D874" t="s">
        <v>3</v>
      </c>
      <c r="E874" t="s">
        <v>19</v>
      </c>
      <c r="F874">
        <v>52</v>
      </c>
      <c r="G874" t="s">
        <v>27</v>
      </c>
      <c r="H874">
        <v>3</v>
      </c>
      <c r="I874">
        <v>60</v>
      </c>
      <c r="J874">
        <v>180</v>
      </c>
    </row>
    <row r="875" spans="1:10" x14ac:dyDescent="0.3">
      <c r="A875">
        <v>874</v>
      </c>
      <c r="B875" s="1">
        <v>45800</v>
      </c>
      <c r="C875" t="s">
        <v>893</v>
      </c>
      <c r="D875" t="s">
        <v>3</v>
      </c>
      <c r="E875" t="s">
        <v>14</v>
      </c>
      <c r="F875">
        <v>35</v>
      </c>
      <c r="G875" t="s">
        <v>15</v>
      </c>
      <c r="H875">
        <v>3</v>
      </c>
      <c r="I875">
        <v>43</v>
      </c>
      <c r="J875">
        <v>129</v>
      </c>
    </row>
    <row r="876" spans="1:10" x14ac:dyDescent="0.3">
      <c r="A876">
        <v>875</v>
      </c>
      <c r="B876" s="1">
        <v>45801</v>
      </c>
      <c r="C876" t="s">
        <v>894</v>
      </c>
      <c r="D876" t="s">
        <v>2</v>
      </c>
      <c r="E876" t="s">
        <v>19</v>
      </c>
      <c r="F876">
        <v>32</v>
      </c>
      <c r="G876" t="s">
        <v>17</v>
      </c>
      <c r="H876">
        <v>4</v>
      </c>
      <c r="I876">
        <v>137</v>
      </c>
      <c r="J876">
        <v>548</v>
      </c>
    </row>
    <row r="877" spans="1:10" x14ac:dyDescent="0.3">
      <c r="A877">
        <v>876</v>
      </c>
      <c r="B877" s="1">
        <v>45802</v>
      </c>
      <c r="C877" t="s">
        <v>895</v>
      </c>
      <c r="D877" t="s">
        <v>1</v>
      </c>
      <c r="E877" t="s">
        <v>14</v>
      </c>
      <c r="F877">
        <v>54</v>
      </c>
      <c r="G877" t="s">
        <v>27</v>
      </c>
      <c r="H877">
        <v>3</v>
      </c>
      <c r="I877">
        <v>117</v>
      </c>
      <c r="J877">
        <v>351</v>
      </c>
    </row>
    <row r="878" spans="1:10" x14ac:dyDescent="0.3">
      <c r="A878">
        <v>877</v>
      </c>
      <c r="B878" s="1">
        <v>45803</v>
      </c>
      <c r="C878" t="s">
        <v>896</v>
      </c>
      <c r="D878" t="s">
        <v>3</v>
      </c>
      <c r="E878" t="s">
        <v>14</v>
      </c>
      <c r="F878">
        <v>25</v>
      </c>
      <c r="G878" t="s">
        <v>17</v>
      </c>
      <c r="H878">
        <v>2</v>
      </c>
      <c r="I878">
        <v>181</v>
      </c>
      <c r="J878">
        <v>362</v>
      </c>
    </row>
    <row r="879" spans="1:10" x14ac:dyDescent="0.3">
      <c r="A879">
        <v>878</v>
      </c>
      <c r="B879" s="1">
        <v>45804</v>
      </c>
      <c r="C879" t="s">
        <v>897</v>
      </c>
      <c r="D879" t="s">
        <v>3</v>
      </c>
      <c r="E879" t="s">
        <v>19</v>
      </c>
      <c r="F879">
        <v>37</v>
      </c>
      <c r="G879" t="s">
        <v>17</v>
      </c>
      <c r="H879">
        <v>5</v>
      </c>
      <c r="I879">
        <v>182</v>
      </c>
      <c r="J879">
        <v>910</v>
      </c>
    </row>
    <row r="880" spans="1:10" x14ac:dyDescent="0.3">
      <c r="A880">
        <v>879</v>
      </c>
      <c r="B880" s="1">
        <v>45805</v>
      </c>
      <c r="C880" t="s">
        <v>898</v>
      </c>
      <c r="D880" t="s">
        <v>3</v>
      </c>
      <c r="E880" t="s">
        <v>14</v>
      </c>
      <c r="F880">
        <v>51</v>
      </c>
      <c r="G880" t="s">
        <v>20</v>
      </c>
      <c r="H880">
        <v>1</v>
      </c>
      <c r="I880">
        <v>42</v>
      </c>
      <c r="J880">
        <v>42</v>
      </c>
    </row>
    <row r="881" spans="1:10" x14ac:dyDescent="0.3">
      <c r="A881">
        <v>880</v>
      </c>
      <c r="B881" s="1">
        <v>45806</v>
      </c>
      <c r="C881" t="s">
        <v>899</v>
      </c>
      <c r="D881" t="s">
        <v>4</v>
      </c>
      <c r="E881" t="s">
        <v>14</v>
      </c>
      <c r="F881">
        <v>20</v>
      </c>
      <c r="G881" t="s">
        <v>15</v>
      </c>
      <c r="H881">
        <v>1</v>
      </c>
      <c r="I881">
        <v>344</v>
      </c>
      <c r="J881">
        <v>344</v>
      </c>
    </row>
    <row r="882" spans="1:10" x14ac:dyDescent="0.3">
      <c r="A882">
        <v>881</v>
      </c>
      <c r="B882" s="1">
        <v>45807</v>
      </c>
      <c r="C882" t="s">
        <v>900</v>
      </c>
      <c r="D882" t="s">
        <v>3</v>
      </c>
      <c r="E882" t="s">
        <v>19</v>
      </c>
      <c r="F882">
        <v>58</v>
      </c>
      <c r="G882" t="s">
        <v>23</v>
      </c>
      <c r="H882">
        <v>2</v>
      </c>
      <c r="I882">
        <v>342</v>
      </c>
      <c r="J882">
        <v>684</v>
      </c>
    </row>
    <row r="883" spans="1:10" x14ac:dyDescent="0.3">
      <c r="A883">
        <v>882</v>
      </c>
      <c r="B883" s="1">
        <v>45808</v>
      </c>
      <c r="C883" t="s">
        <v>901</v>
      </c>
      <c r="D883" t="s">
        <v>2</v>
      </c>
      <c r="E883" t="s">
        <v>19</v>
      </c>
      <c r="F883">
        <v>33</v>
      </c>
      <c r="G883" t="s">
        <v>17</v>
      </c>
      <c r="H883">
        <v>1</v>
      </c>
      <c r="I883">
        <v>483</v>
      </c>
      <c r="J883">
        <v>483</v>
      </c>
    </row>
    <row r="884" spans="1:10" x14ac:dyDescent="0.3">
      <c r="A884">
        <v>883</v>
      </c>
      <c r="B884" s="1">
        <v>45809</v>
      </c>
      <c r="C884" t="s">
        <v>902</v>
      </c>
      <c r="D884" t="s">
        <v>1</v>
      </c>
      <c r="E884" t="s">
        <v>19</v>
      </c>
      <c r="F884">
        <v>41</v>
      </c>
      <c r="G884" t="s">
        <v>27</v>
      </c>
      <c r="H884">
        <v>2</v>
      </c>
      <c r="I884">
        <v>227</v>
      </c>
      <c r="J884">
        <v>454</v>
      </c>
    </row>
    <row r="885" spans="1:10" x14ac:dyDescent="0.3">
      <c r="A885">
        <v>884</v>
      </c>
      <c r="B885" s="1">
        <v>45810</v>
      </c>
      <c r="C885" t="s">
        <v>903</v>
      </c>
      <c r="D885" t="s">
        <v>1</v>
      </c>
      <c r="E885" t="s">
        <v>19</v>
      </c>
      <c r="F885">
        <v>47</v>
      </c>
      <c r="G885" t="s">
        <v>17</v>
      </c>
      <c r="H885">
        <v>2</v>
      </c>
      <c r="I885">
        <v>373</v>
      </c>
      <c r="J885">
        <v>746</v>
      </c>
    </row>
    <row r="886" spans="1:10" x14ac:dyDescent="0.3">
      <c r="A886">
        <v>885</v>
      </c>
      <c r="B886" s="1">
        <v>45811</v>
      </c>
      <c r="C886" t="s">
        <v>904</v>
      </c>
      <c r="D886" t="s">
        <v>3</v>
      </c>
      <c r="E886" t="s">
        <v>19</v>
      </c>
      <c r="F886">
        <v>49</v>
      </c>
      <c r="G886" t="s">
        <v>27</v>
      </c>
      <c r="H886">
        <v>3</v>
      </c>
      <c r="I886">
        <v>296</v>
      </c>
      <c r="J886">
        <v>888</v>
      </c>
    </row>
    <row r="887" spans="1:10" x14ac:dyDescent="0.3">
      <c r="A887">
        <v>886</v>
      </c>
      <c r="B887" s="1">
        <v>45812</v>
      </c>
      <c r="C887" t="s">
        <v>905</v>
      </c>
      <c r="D887" t="s">
        <v>3</v>
      </c>
      <c r="E887" t="s">
        <v>19</v>
      </c>
      <c r="F887">
        <v>35</v>
      </c>
      <c r="G887" t="s">
        <v>23</v>
      </c>
      <c r="H887">
        <v>5</v>
      </c>
      <c r="I887">
        <v>300</v>
      </c>
      <c r="J887">
        <v>1500</v>
      </c>
    </row>
    <row r="888" spans="1:10" x14ac:dyDescent="0.3">
      <c r="A888">
        <v>887</v>
      </c>
      <c r="B888" s="1">
        <v>45813</v>
      </c>
      <c r="C888" t="s">
        <v>906</v>
      </c>
      <c r="D888" t="s">
        <v>3</v>
      </c>
      <c r="E888" t="s">
        <v>19</v>
      </c>
      <c r="F888">
        <v>44</v>
      </c>
      <c r="G888" t="s">
        <v>20</v>
      </c>
      <c r="H888">
        <v>3</v>
      </c>
      <c r="I888">
        <v>53</v>
      </c>
      <c r="J888">
        <v>159</v>
      </c>
    </row>
    <row r="889" spans="1:10" x14ac:dyDescent="0.3">
      <c r="A889">
        <v>888</v>
      </c>
      <c r="B889" s="1">
        <v>45814</v>
      </c>
      <c r="C889" t="s">
        <v>907</v>
      </c>
      <c r="D889" t="s">
        <v>1</v>
      </c>
      <c r="E889" t="s">
        <v>19</v>
      </c>
      <c r="F889">
        <v>25</v>
      </c>
      <c r="G889" t="s">
        <v>23</v>
      </c>
      <c r="H889">
        <v>2</v>
      </c>
      <c r="I889">
        <v>381</v>
      </c>
      <c r="J889">
        <v>762</v>
      </c>
    </row>
    <row r="890" spans="1:10" x14ac:dyDescent="0.3">
      <c r="A890">
        <v>889</v>
      </c>
      <c r="B890" s="1">
        <v>45815</v>
      </c>
      <c r="C890" t="s">
        <v>908</v>
      </c>
      <c r="D890" t="s">
        <v>1</v>
      </c>
      <c r="E890" t="s">
        <v>14</v>
      </c>
      <c r="F890">
        <v>60</v>
      </c>
      <c r="G890" t="s">
        <v>20</v>
      </c>
      <c r="H890">
        <v>2</v>
      </c>
      <c r="I890">
        <v>363</v>
      </c>
      <c r="J890">
        <v>726</v>
      </c>
    </row>
    <row r="891" spans="1:10" x14ac:dyDescent="0.3">
      <c r="A891">
        <v>890</v>
      </c>
      <c r="B891" s="1">
        <v>45816</v>
      </c>
      <c r="C891" t="s">
        <v>909</v>
      </c>
      <c r="D891" t="s">
        <v>4</v>
      </c>
      <c r="E891" t="s">
        <v>14</v>
      </c>
      <c r="F891">
        <v>48</v>
      </c>
      <c r="G891" t="s">
        <v>20</v>
      </c>
      <c r="H891">
        <v>1</v>
      </c>
      <c r="I891">
        <v>213</v>
      </c>
      <c r="J891">
        <v>213</v>
      </c>
    </row>
    <row r="892" spans="1:10" x14ac:dyDescent="0.3">
      <c r="A892">
        <v>891</v>
      </c>
      <c r="B892" s="1">
        <v>45817</v>
      </c>
      <c r="C892" t="s">
        <v>910</v>
      </c>
      <c r="D892" t="s">
        <v>2</v>
      </c>
      <c r="E892" t="s">
        <v>19</v>
      </c>
      <c r="F892">
        <v>33</v>
      </c>
      <c r="G892" t="s">
        <v>27</v>
      </c>
      <c r="H892">
        <v>2</v>
      </c>
      <c r="I892">
        <v>87</v>
      </c>
      <c r="J892">
        <v>174</v>
      </c>
    </row>
    <row r="893" spans="1:10" x14ac:dyDescent="0.3">
      <c r="A893">
        <v>892</v>
      </c>
      <c r="B893" s="1">
        <v>45818</v>
      </c>
      <c r="C893" t="s">
        <v>911</v>
      </c>
      <c r="D893" t="s">
        <v>4</v>
      </c>
      <c r="E893" t="s">
        <v>19</v>
      </c>
      <c r="F893">
        <v>46</v>
      </c>
      <c r="G893" t="s">
        <v>27</v>
      </c>
      <c r="H893">
        <v>2</v>
      </c>
      <c r="I893">
        <v>238</v>
      </c>
      <c r="J893">
        <v>476</v>
      </c>
    </row>
    <row r="894" spans="1:10" x14ac:dyDescent="0.3">
      <c r="A894">
        <v>893</v>
      </c>
      <c r="B894" s="1">
        <v>45819</v>
      </c>
      <c r="C894" t="s">
        <v>912</v>
      </c>
      <c r="D894" t="s">
        <v>2</v>
      </c>
      <c r="E894" t="s">
        <v>14</v>
      </c>
      <c r="F894">
        <v>34</v>
      </c>
      <c r="G894" t="s">
        <v>20</v>
      </c>
      <c r="H894">
        <v>2</v>
      </c>
      <c r="I894">
        <v>103</v>
      </c>
      <c r="J894">
        <v>206</v>
      </c>
    </row>
    <row r="895" spans="1:10" x14ac:dyDescent="0.3">
      <c r="A895">
        <v>894</v>
      </c>
      <c r="B895" s="1">
        <v>45820</v>
      </c>
      <c r="C895" t="s">
        <v>913</v>
      </c>
      <c r="D895" t="s">
        <v>4</v>
      </c>
      <c r="E895" t="s">
        <v>14</v>
      </c>
      <c r="F895">
        <v>43</v>
      </c>
      <c r="G895" t="s">
        <v>27</v>
      </c>
      <c r="H895">
        <v>2</v>
      </c>
      <c r="I895">
        <v>413</v>
      </c>
      <c r="J895">
        <v>826</v>
      </c>
    </row>
    <row r="896" spans="1:10" x14ac:dyDescent="0.3">
      <c r="A896">
        <v>895</v>
      </c>
      <c r="B896" s="1">
        <v>45821</v>
      </c>
      <c r="C896" t="s">
        <v>914</v>
      </c>
      <c r="D896" t="s">
        <v>1</v>
      </c>
      <c r="E896" t="s">
        <v>19</v>
      </c>
      <c r="F896">
        <v>30</v>
      </c>
      <c r="G896" t="s">
        <v>27</v>
      </c>
      <c r="H896">
        <v>5</v>
      </c>
      <c r="I896">
        <v>401</v>
      </c>
      <c r="J896">
        <v>2005</v>
      </c>
    </row>
    <row r="897" spans="1:10" x14ac:dyDescent="0.3">
      <c r="A897">
        <v>896</v>
      </c>
      <c r="B897" s="1">
        <v>45822</v>
      </c>
      <c r="C897" t="s">
        <v>915</v>
      </c>
      <c r="D897" t="s">
        <v>4</v>
      </c>
      <c r="E897" t="s">
        <v>19</v>
      </c>
      <c r="F897">
        <v>29</v>
      </c>
      <c r="G897" t="s">
        <v>23</v>
      </c>
      <c r="H897">
        <v>5</v>
      </c>
      <c r="I897">
        <v>30</v>
      </c>
      <c r="J897">
        <v>150</v>
      </c>
    </row>
    <row r="898" spans="1:10" x14ac:dyDescent="0.3">
      <c r="A898">
        <v>897</v>
      </c>
      <c r="B898" s="1">
        <v>45823</v>
      </c>
      <c r="C898" t="s">
        <v>916</v>
      </c>
      <c r="D898" t="s">
        <v>2</v>
      </c>
      <c r="E898" t="s">
        <v>19</v>
      </c>
      <c r="F898">
        <v>49</v>
      </c>
      <c r="G898" t="s">
        <v>15</v>
      </c>
      <c r="H898">
        <v>2</v>
      </c>
      <c r="I898">
        <v>302</v>
      </c>
      <c r="J898">
        <v>604</v>
      </c>
    </row>
    <row r="899" spans="1:10" x14ac:dyDescent="0.3">
      <c r="A899">
        <v>898</v>
      </c>
      <c r="B899" s="1">
        <v>45824</v>
      </c>
      <c r="C899" t="s">
        <v>917</v>
      </c>
      <c r="D899" t="s">
        <v>3</v>
      </c>
      <c r="E899" t="s">
        <v>14</v>
      </c>
      <c r="F899">
        <v>26</v>
      </c>
      <c r="G899" t="s">
        <v>27</v>
      </c>
      <c r="H899">
        <v>5</v>
      </c>
      <c r="I899">
        <v>487</v>
      </c>
      <c r="J899">
        <v>2435</v>
      </c>
    </row>
    <row r="900" spans="1:10" x14ac:dyDescent="0.3">
      <c r="A900">
        <v>899</v>
      </c>
      <c r="B900" s="1">
        <v>45825</v>
      </c>
      <c r="C900" t="s">
        <v>918</v>
      </c>
      <c r="D900" t="s">
        <v>2</v>
      </c>
      <c r="E900" t="s">
        <v>14</v>
      </c>
      <c r="F900">
        <v>51</v>
      </c>
      <c r="G900" t="s">
        <v>17</v>
      </c>
      <c r="H900">
        <v>4</v>
      </c>
      <c r="I900">
        <v>309</v>
      </c>
      <c r="J900">
        <v>1236</v>
      </c>
    </row>
    <row r="901" spans="1:10" x14ac:dyDescent="0.3">
      <c r="A901">
        <v>900</v>
      </c>
      <c r="B901" s="1">
        <v>45826</v>
      </c>
      <c r="C901" t="s">
        <v>919</v>
      </c>
      <c r="D901" t="s">
        <v>3</v>
      </c>
      <c r="E901" t="s">
        <v>14</v>
      </c>
      <c r="F901">
        <v>25</v>
      </c>
      <c r="G901" t="s">
        <v>23</v>
      </c>
      <c r="H901">
        <v>1</v>
      </c>
      <c r="I901">
        <v>45</v>
      </c>
      <c r="J901">
        <v>45</v>
      </c>
    </row>
    <row r="902" spans="1:10" x14ac:dyDescent="0.3">
      <c r="A902">
        <v>901</v>
      </c>
      <c r="B902" s="1">
        <v>45827</v>
      </c>
      <c r="C902" t="s">
        <v>920</v>
      </c>
      <c r="D902" t="s">
        <v>1</v>
      </c>
      <c r="E902" t="s">
        <v>19</v>
      </c>
      <c r="F902">
        <v>29</v>
      </c>
      <c r="G902" t="s">
        <v>27</v>
      </c>
      <c r="H902">
        <v>5</v>
      </c>
      <c r="I902">
        <v>159</v>
      </c>
      <c r="J902">
        <v>795</v>
      </c>
    </row>
    <row r="903" spans="1:10" x14ac:dyDescent="0.3">
      <c r="A903">
        <v>902</v>
      </c>
      <c r="B903" s="1">
        <v>45828</v>
      </c>
      <c r="C903" t="s">
        <v>921</v>
      </c>
      <c r="D903" t="s">
        <v>2</v>
      </c>
      <c r="E903" t="s">
        <v>14</v>
      </c>
      <c r="F903">
        <v>23</v>
      </c>
      <c r="G903" t="s">
        <v>20</v>
      </c>
      <c r="H903">
        <v>1</v>
      </c>
      <c r="I903">
        <v>474</v>
      </c>
      <c r="J903">
        <v>474</v>
      </c>
    </row>
    <row r="904" spans="1:10" x14ac:dyDescent="0.3">
      <c r="A904">
        <v>903</v>
      </c>
      <c r="B904" s="1">
        <v>45829</v>
      </c>
      <c r="C904" t="s">
        <v>922</v>
      </c>
      <c r="D904" t="s">
        <v>4</v>
      </c>
      <c r="E904" t="s">
        <v>19</v>
      </c>
      <c r="F904">
        <v>25</v>
      </c>
      <c r="G904" t="s">
        <v>20</v>
      </c>
      <c r="H904">
        <v>5</v>
      </c>
      <c r="I904">
        <v>206</v>
      </c>
      <c r="J904">
        <v>1030</v>
      </c>
    </row>
    <row r="905" spans="1:10" x14ac:dyDescent="0.3">
      <c r="A905">
        <v>904</v>
      </c>
      <c r="B905" s="1">
        <v>45830</v>
      </c>
      <c r="C905" t="s">
        <v>923</v>
      </c>
      <c r="D905" t="s">
        <v>2</v>
      </c>
      <c r="E905" t="s">
        <v>19</v>
      </c>
      <c r="F905">
        <v>22</v>
      </c>
      <c r="G905" t="s">
        <v>27</v>
      </c>
      <c r="H905">
        <v>4</v>
      </c>
      <c r="I905">
        <v>309</v>
      </c>
      <c r="J905">
        <v>1236</v>
      </c>
    </row>
    <row r="906" spans="1:10" x14ac:dyDescent="0.3">
      <c r="A906">
        <v>905</v>
      </c>
      <c r="B906" s="1">
        <v>45831</v>
      </c>
      <c r="C906" t="s">
        <v>924</v>
      </c>
      <c r="D906" t="s">
        <v>3</v>
      </c>
      <c r="E906" t="s">
        <v>14</v>
      </c>
      <c r="F906">
        <v>52</v>
      </c>
      <c r="G906" t="s">
        <v>17</v>
      </c>
      <c r="H906">
        <v>2</v>
      </c>
      <c r="I906">
        <v>373</v>
      </c>
      <c r="J906">
        <v>746</v>
      </c>
    </row>
    <row r="907" spans="1:10" x14ac:dyDescent="0.3">
      <c r="A907">
        <v>906</v>
      </c>
      <c r="B907" s="1">
        <v>45832</v>
      </c>
      <c r="C907" t="s">
        <v>925</v>
      </c>
      <c r="D907" t="s">
        <v>1</v>
      </c>
      <c r="E907" t="s">
        <v>19</v>
      </c>
      <c r="F907">
        <v>38</v>
      </c>
      <c r="G907" t="s">
        <v>15</v>
      </c>
      <c r="H907">
        <v>1</v>
      </c>
      <c r="I907">
        <v>335</v>
      </c>
      <c r="J907">
        <v>335</v>
      </c>
    </row>
    <row r="908" spans="1:10" x14ac:dyDescent="0.3">
      <c r="A908">
        <v>907</v>
      </c>
      <c r="B908" s="1">
        <v>45833</v>
      </c>
      <c r="C908" t="s">
        <v>926</v>
      </c>
      <c r="D908" t="s">
        <v>4</v>
      </c>
      <c r="E908" t="s">
        <v>19</v>
      </c>
      <c r="F908">
        <v>55</v>
      </c>
      <c r="G908" t="s">
        <v>23</v>
      </c>
      <c r="H908">
        <v>5</v>
      </c>
      <c r="I908">
        <v>74</v>
      </c>
      <c r="J908">
        <v>370</v>
      </c>
    </row>
    <row r="909" spans="1:10" x14ac:dyDescent="0.3">
      <c r="A909">
        <v>908</v>
      </c>
      <c r="B909" s="1">
        <v>45834</v>
      </c>
      <c r="C909" t="s">
        <v>927</v>
      </c>
      <c r="D909" t="s">
        <v>2</v>
      </c>
      <c r="E909" t="s">
        <v>19</v>
      </c>
      <c r="F909">
        <v>26</v>
      </c>
      <c r="G909" t="s">
        <v>23</v>
      </c>
      <c r="H909">
        <v>1</v>
      </c>
      <c r="I909">
        <v>312</v>
      </c>
      <c r="J909">
        <v>312</v>
      </c>
    </row>
    <row r="910" spans="1:10" x14ac:dyDescent="0.3">
      <c r="A910">
        <v>909</v>
      </c>
      <c r="B910" s="1">
        <v>45835</v>
      </c>
      <c r="C910" t="s">
        <v>928</v>
      </c>
      <c r="D910" t="s">
        <v>3</v>
      </c>
      <c r="E910" t="s">
        <v>14</v>
      </c>
      <c r="F910">
        <v>42</v>
      </c>
      <c r="G910" t="s">
        <v>20</v>
      </c>
      <c r="H910">
        <v>4</v>
      </c>
      <c r="I910">
        <v>255</v>
      </c>
      <c r="J910">
        <v>1020</v>
      </c>
    </row>
    <row r="911" spans="1:10" x14ac:dyDescent="0.3">
      <c r="A911">
        <v>910</v>
      </c>
      <c r="B911" s="1">
        <v>45836</v>
      </c>
      <c r="C911" t="s">
        <v>929</v>
      </c>
      <c r="D911" t="s">
        <v>4</v>
      </c>
      <c r="E911" t="s">
        <v>19</v>
      </c>
      <c r="F911">
        <v>27</v>
      </c>
      <c r="G911" t="s">
        <v>23</v>
      </c>
      <c r="H911">
        <v>2</v>
      </c>
      <c r="I911">
        <v>316</v>
      </c>
      <c r="J911">
        <v>632</v>
      </c>
    </row>
    <row r="912" spans="1:10" x14ac:dyDescent="0.3">
      <c r="A912">
        <v>911</v>
      </c>
      <c r="B912" s="1">
        <v>45837</v>
      </c>
      <c r="C912" t="s">
        <v>930</v>
      </c>
      <c r="D912" t="s">
        <v>1</v>
      </c>
      <c r="E912" t="s">
        <v>19</v>
      </c>
      <c r="F912">
        <v>27</v>
      </c>
      <c r="G912" t="s">
        <v>15</v>
      </c>
      <c r="H912">
        <v>2</v>
      </c>
      <c r="I912">
        <v>390</v>
      </c>
      <c r="J912">
        <v>780</v>
      </c>
    </row>
    <row r="913" spans="1:10" x14ac:dyDescent="0.3">
      <c r="A913">
        <v>912</v>
      </c>
      <c r="B913" s="1">
        <v>45838</v>
      </c>
      <c r="C913" t="s">
        <v>931</v>
      </c>
      <c r="D913" t="s">
        <v>4</v>
      </c>
      <c r="E913" t="s">
        <v>14</v>
      </c>
      <c r="F913">
        <v>37</v>
      </c>
      <c r="G913" t="s">
        <v>15</v>
      </c>
      <c r="H913">
        <v>1</v>
      </c>
      <c r="I913">
        <v>123</v>
      </c>
      <c r="J913">
        <v>123</v>
      </c>
    </row>
    <row r="914" spans="1:10" x14ac:dyDescent="0.3">
      <c r="A914">
        <v>913</v>
      </c>
      <c r="B914" s="1">
        <v>45839</v>
      </c>
      <c r="C914" t="s">
        <v>932</v>
      </c>
      <c r="D914" t="s">
        <v>1</v>
      </c>
      <c r="E914" t="s">
        <v>19</v>
      </c>
      <c r="F914">
        <v>19</v>
      </c>
      <c r="G914" t="s">
        <v>17</v>
      </c>
      <c r="H914">
        <v>4</v>
      </c>
      <c r="I914">
        <v>131</v>
      </c>
      <c r="J914">
        <v>524</v>
      </c>
    </row>
    <row r="915" spans="1:10" x14ac:dyDescent="0.3">
      <c r="A915">
        <v>914</v>
      </c>
      <c r="B915" s="1">
        <v>45840</v>
      </c>
      <c r="C915" t="s">
        <v>933</v>
      </c>
      <c r="D915" t="s">
        <v>4</v>
      </c>
      <c r="E915" t="s">
        <v>19</v>
      </c>
      <c r="F915">
        <v>19</v>
      </c>
      <c r="G915" t="s">
        <v>23</v>
      </c>
      <c r="H915">
        <v>2</v>
      </c>
      <c r="I915">
        <v>486</v>
      </c>
      <c r="J915">
        <v>972</v>
      </c>
    </row>
    <row r="916" spans="1:10" x14ac:dyDescent="0.3">
      <c r="A916">
        <v>915</v>
      </c>
      <c r="B916" s="1">
        <v>45841</v>
      </c>
      <c r="C916" t="s">
        <v>934</v>
      </c>
      <c r="D916" t="s">
        <v>2</v>
      </c>
      <c r="E916" t="s">
        <v>14</v>
      </c>
      <c r="F916">
        <v>39</v>
      </c>
      <c r="G916" t="s">
        <v>15</v>
      </c>
      <c r="H916">
        <v>5</v>
      </c>
      <c r="I916">
        <v>94</v>
      </c>
      <c r="J916">
        <v>470</v>
      </c>
    </row>
    <row r="917" spans="1:10" x14ac:dyDescent="0.3">
      <c r="A917">
        <v>916</v>
      </c>
      <c r="B917" s="1">
        <v>45842</v>
      </c>
      <c r="C917" t="s">
        <v>935</v>
      </c>
      <c r="D917" t="s">
        <v>3</v>
      </c>
      <c r="E917" t="s">
        <v>14</v>
      </c>
      <c r="F917">
        <v>31</v>
      </c>
      <c r="G917" t="s">
        <v>20</v>
      </c>
      <c r="H917">
        <v>2</v>
      </c>
      <c r="I917">
        <v>352</v>
      </c>
      <c r="J917">
        <v>704</v>
      </c>
    </row>
    <row r="918" spans="1:10" x14ac:dyDescent="0.3">
      <c r="A918">
        <v>917</v>
      </c>
      <c r="B918" s="1">
        <v>45843</v>
      </c>
      <c r="C918" t="s">
        <v>936</v>
      </c>
      <c r="D918" t="s">
        <v>2</v>
      </c>
      <c r="E918" t="s">
        <v>19</v>
      </c>
      <c r="F918">
        <v>23</v>
      </c>
      <c r="G918" t="s">
        <v>20</v>
      </c>
      <c r="H918">
        <v>1</v>
      </c>
      <c r="I918">
        <v>71</v>
      </c>
      <c r="J918">
        <v>71</v>
      </c>
    </row>
    <row r="919" spans="1:10" x14ac:dyDescent="0.3">
      <c r="A919">
        <v>918</v>
      </c>
      <c r="B919" s="1">
        <v>45844</v>
      </c>
      <c r="C919" t="s">
        <v>937</v>
      </c>
      <c r="D919" t="s">
        <v>2</v>
      </c>
      <c r="E919" t="s">
        <v>19</v>
      </c>
      <c r="F919">
        <v>37</v>
      </c>
      <c r="G919" t="s">
        <v>17</v>
      </c>
      <c r="H919">
        <v>2</v>
      </c>
      <c r="I919">
        <v>217</v>
      </c>
      <c r="J919">
        <v>434</v>
      </c>
    </row>
    <row r="920" spans="1:10" x14ac:dyDescent="0.3">
      <c r="A920">
        <v>919</v>
      </c>
      <c r="B920" s="1">
        <v>45845</v>
      </c>
      <c r="C920" t="s">
        <v>938</v>
      </c>
      <c r="D920" t="s">
        <v>1</v>
      </c>
      <c r="E920" t="s">
        <v>19</v>
      </c>
      <c r="F920">
        <v>59</v>
      </c>
      <c r="G920" t="s">
        <v>17</v>
      </c>
      <c r="H920">
        <v>3</v>
      </c>
      <c r="I920">
        <v>464</v>
      </c>
      <c r="J920">
        <v>1392</v>
      </c>
    </row>
    <row r="921" spans="1:10" x14ac:dyDescent="0.3">
      <c r="A921">
        <v>920</v>
      </c>
      <c r="B921" s="1">
        <v>45846</v>
      </c>
      <c r="C921" t="s">
        <v>939</v>
      </c>
      <c r="D921" t="s">
        <v>1</v>
      </c>
      <c r="E921" t="s">
        <v>19</v>
      </c>
      <c r="F921">
        <v>35</v>
      </c>
      <c r="G921" t="s">
        <v>23</v>
      </c>
      <c r="H921">
        <v>4</v>
      </c>
      <c r="I921">
        <v>387</v>
      </c>
      <c r="J921">
        <v>1548</v>
      </c>
    </row>
    <row r="922" spans="1:10" x14ac:dyDescent="0.3">
      <c r="A922">
        <v>921</v>
      </c>
      <c r="B922" s="1">
        <v>45847</v>
      </c>
      <c r="C922" t="s">
        <v>940</v>
      </c>
      <c r="D922" t="s">
        <v>1</v>
      </c>
      <c r="E922" t="s">
        <v>19</v>
      </c>
      <c r="F922">
        <v>27</v>
      </c>
      <c r="G922" t="s">
        <v>17</v>
      </c>
      <c r="H922">
        <v>5</v>
      </c>
      <c r="I922">
        <v>46</v>
      </c>
      <c r="J922">
        <v>230</v>
      </c>
    </row>
    <row r="923" spans="1:10" x14ac:dyDescent="0.3">
      <c r="A923">
        <v>922</v>
      </c>
      <c r="B923" s="1">
        <v>45848</v>
      </c>
      <c r="C923" t="s">
        <v>941</v>
      </c>
      <c r="D923" t="s">
        <v>2</v>
      </c>
      <c r="E923" t="s">
        <v>14</v>
      </c>
      <c r="F923">
        <v>29</v>
      </c>
      <c r="G923" t="s">
        <v>23</v>
      </c>
      <c r="H923">
        <v>3</v>
      </c>
      <c r="I923">
        <v>35</v>
      </c>
      <c r="J923">
        <v>105</v>
      </c>
    </row>
    <row r="924" spans="1:10" x14ac:dyDescent="0.3">
      <c r="A924">
        <v>923</v>
      </c>
      <c r="B924" s="1">
        <v>45849</v>
      </c>
      <c r="C924" t="s">
        <v>942</v>
      </c>
      <c r="D924" t="s">
        <v>4</v>
      </c>
      <c r="E924" t="s">
        <v>19</v>
      </c>
      <c r="F924">
        <v>21</v>
      </c>
      <c r="G924" t="s">
        <v>20</v>
      </c>
      <c r="H924">
        <v>2</v>
      </c>
      <c r="I924">
        <v>498</v>
      </c>
      <c r="J924">
        <v>996</v>
      </c>
    </row>
    <row r="925" spans="1:10" x14ac:dyDescent="0.3">
      <c r="A925">
        <v>924</v>
      </c>
      <c r="B925" s="1">
        <v>45850</v>
      </c>
      <c r="C925" t="s">
        <v>943</v>
      </c>
      <c r="D925" t="s">
        <v>4</v>
      </c>
      <c r="E925" t="s">
        <v>14</v>
      </c>
      <c r="F925">
        <v>27</v>
      </c>
      <c r="G925" t="s">
        <v>27</v>
      </c>
      <c r="H925">
        <v>2</v>
      </c>
      <c r="I925">
        <v>442</v>
      </c>
      <c r="J925">
        <v>884</v>
      </c>
    </row>
    <row r="926" spans="1:10" x14ac:dyDescent="0.3">
      <c r="A926">
        <v>925</v>
      </c>
      <c r="B926" s="1">
        <v>45851</v>
      </c>
      <c r="C926" t="s">
        <v>944</v>
      </c>
      <c r="D926" t="s">
        <v>2</v>
      </c>
      <c r="E926" t="s">
        <v>14</v>
      </c>
      <c r="F926">
        <v>31</v>
      </c>
      <c r="G926" t="s">
        <v>23</v>
      </c>
      <c r="H926">
        <v>4</v>
      </c>
      <c r="I926">
        <v>67</v>
      </c>
      <c r="J926">
        <v>268</v>
      </c>
    </row>
    <row r="927" spans="1:10" x14ac:dyDescent="0.3">
      <c r="A927">
        <v>926</v>
      </c>
      <c r="B927" s="1">
        <v>45852</v>
      </c>
      <c r="C927" t="s">
        <v>945</v>
      </c>
      <c r="D927" t="s">
        <v>2</v>
      </c>
      <c r="E927" t="s">
        <v>19</v>
      </c>
      <c r="F927">
        <v>28</v>
      </c>
      <c r="G927" t="s">
        <v>17</v>
      </c>
      <c r="H927">
        <v>3</v>
      </c>
      <c r="I927">
        <v>472</v>
      </c>
      <c r="J927">
        <v>1416</v>
      </c>
    </row>
    <row r="928" spans="1:10" x14ac:dyDescent="0.3">
      <c r="A928">
        <v>927</v>
      </c>
      <c r="B928" s="1">
        <v>45853</v>
      </c>
      <c r="C928" t="s">
        <v>946</v>
      </c>
      <c r="D928" t="s">
        <v>3</v>
      </c>
      <c r="E928" t="s">
        <v>19</v>
      </c>
      <c r="F928">
        <v>28</v>
      </c>
      <c r="G928" t="s">
        <v>15</v>
      </c>
      <c r="H928">
        <v>3</v>
      </c>
      <c r="I928">
        <v>86</v>
      </c>
      <c r="J928">
        <v>258</v>
      </c>
    </row>
    <row r="929" spans="1:10" x14ac:dyDescent="0.3">
      <c r="A929">
        <v>928</v>
      </c>
      <c r="B929" s="1">
        <v>45854</v>
      </c>
      <c r="C929" t="s">
        <v>947</v>
      </c>
      <c r="D929" t="s">
        <v>1</v>
      </c>
      <c r="E929" t="s">
        <v>19</v>
      </c>
      <c r="F929">
        <v>57</v>
      </c>
      <c r="G929" t="s">
        <v>27</v>
      </c>
      <c r="H929">
        <v>4</v>
      </c>
      <c r="I929">
        <v>419</v>
      </c>
      <c r="J929">
        <v>1676</v>
      </c>
    </row>
    <row r="930" spans="1:10" x14ac:dyDescent="0.3">
      <c r="A930">
        <v>929</v>
      </c>
      <c r="B930" s="1">
        <v>45855</v>
      </c>
      <c r="C930" t="s">
        <v>948</v>
      </c>
      <c r="D930" t="s">
        <v>1</v>
      </c>
      <c r="E930" t="s">
        <v>19</v>
      </c>
      <c r="F930">
        <v>56</v>
      </c>
      <c r="G930" t="s">
        <v>23</v>
      </c>
      <c r="H930">
        <v>4</v>
      </c>
      <c r="I930">
        <v>259</v>
      </c>
      <c r="J930">
        <v>1036</v>
      </c>
    </row>
    <row r="931" spans="1:10" x14ac:dyDescent="0.3">
      <c r="A931">
        <v>930</v>
      </c>
      <c r="B931" s="1">
        <v>45856</v>
      </c>
      <c r="C931" t="s">
        <v>949</v>
      </c>
      <c r="D931" t="s">
        <v>2</v>
      </c>
      <c r="E931" t="s">
        <v>14</v>
      </c>
      <c r="F931">
        <v>39</v>
      </c>
      <c r="G931" t="s">
        <v>20</v>
      </c>
      <c r="H931">
        <v>3</v>
      </c>
      <c r="I931">
        <v>22</v>
      </c>
      <c r="J931">
        <v>66</v>
      </c>
    </row>
    <row r="932" spans="1:10" x14ac:dyDescent="0.3">
      <c r="A932">
        <v>931</v>
      </c>
      <c r="B932" s="1">
        <v>45857</v>
      </c>
      <c r="C932" t="s">
        <v>950</v>
      </c>
      <c r="D932" t="s">
        <v>2</v>
      </c>
      <c r="E932" t="s">
        <v>14</v>
      </c>
      <c r="F932">
        <v>52</v>
      </c>
      <c r="G932" t="s">
        <v>17</v>
      </c>
      <c r="H932">
        <v>5</v>
      </c>
      <c r="I932">
        <v>351</v>
      </c>
      <c r="J932">
        <v>1755</v>
      </c>
    </row>
    <row r="933" spans="1:10" x14ac:dyDescent="0.3">
      <c r="A933">
        <v>932</v>
      </c>
      <c r="B933" s="1">
        <v>45858</v>
      </c>
      <c r="C933" t="s">
        <v>951</v>
      </c>
      <c r="D933" t="s">
        <v>4</v>
      </c>
      <c r="E933" t="s">
        <v>19</v>
      </c>
      <c r="F933">
        <v>20</v>
      </c>
      <c r="G933" t="s">
        <v>20</v>
      </c>
      <c r="H933">
        <v>5</v>
      </c>
      <c r="I933">
        <v>26</v>
      </c>
      <c r="J933">
        <v>130</v>
      </c>
    </row>
    <row r="934" spans="1:10" x14ac:dyDescent="0.3">
      <c r="A934">
        <v>933</v>
      </c>
      <c r="B934" s="1">
        <v>45859</v>
      </c>
      <c r="C934" t="s">
        <v>952</v>
      </c>
      <c r="D934" t="s">
        <v>2</v>
      </c>
      <c r="E934" t="s">
        <v>19</v>
      </c>
      <c r="F934">
        <v>26</v>
      </c>
      <c r="G934" t="s">
        <v>17</v>
      </c>
      <c r="H934">
        <v>5</v>
      </c>
      <c r="I934">
        <v>389</v>
      </c>
      <c r="J934">
        <v>1945</v>
      </c>
    </row>
    <row r="935" spans="1:10" x14ac:dyDescent="0.3">
      <c r="A935">
        <v>934</v>
      </c>
      <c r="B935" s="1">
        <v>45860</v>
      </c>
      <c r="C935" t="s">
        <v>953</v>
      </c>
      <c r="D935" t="s">
        <v>4</v>
      </c>
      <c r="E935" t="s">
        <v>19</v>
      </c>
      <c r="F935">
        <v>26</v>
      </c>
      <c r="G935" t="s">
        <v>17</v>
      </c>
      <c r="H935">
        <v>3</v>
      </c>
      <c r="I935">
        <v>99</v>
      </c>
      <c r="J935">
        <v>297</v>
      </c>
    </row>
    <row r="936" spans="1:10" x14ac:dyDescent="0.3">
      <c r="A936">
        <v>935</v>
      </c>
      <c r="B936" s="1">
        <v>45861</v>
      </c>
      <c r="C936" t="s">
        <v>954</v>
      </c>
      <c r="D936" t="s">
        <v>2</v>
      </c>
      <c r="E936" t="s">
        <v>19</v>
      </c>
      <c r="F936">
        <v>54</v>
      </c>
      <c r="G936" t="s">
        <v>23</v>
      </c>
      <c r="H936">
        <v>3</v>
      </c>
      <c r="I936">
        <v>338</v>
      </c>
      <c r="J936">
        <v>1014</v>
      </c>
    </row>
    <row r="937" spans="1:10" x14ac:dyDescent="0.3">
      <c r="A937">
        <v>936</v>
      </c>
      <c r="B937" s="1">
        <v>45862</v>
      </c>
      <c r="C937" t="s">
        <v>955</v>
      </c>
      <c r="D937" t="s">
        <v>3</v>
      </c>
      <c r="E937" t="s">
        <v>14</v>
      </c>
      <c r="F937">
        <v>28</v>
      </c>
      <c r="G937" t="s">
        <v>23</v>
      </c>
      <c r="H937">
        <v>5</v>
      </c>
      <c r="I937">
        <v>464</v>
      </c>
      <c r="J937">
        <v>2320</v>
      </c>
    </row>
    <row r="938" spans="1:10" x14ac:dyDescent="0.3">
      <c r="A938">
        <v>937</v>
      </c>
      <c r="B938" s="1">
        <v>45863</v>
      </c>
      <c r="C938" t="s">
        <v>956</v>
      </c>
      <c r="D938" t="s">
        <v>3</v>
      </c>
      <c r="E938" t="s">
        <v>14</v>
      </c>
      <c r="F938">
        <v>18</v>
      </c>
      <c r="G938" t="s">
        <v>15</v>
      </c>
      <c r="H938">
        <v>5</v>
      </c>
      <c r="I938">
        <v>471</v>
      </c>
      <c r="J938">
        <v>2355</v>
      </c>
    </row>
    <row r="939" spans="1:10" x14ac:dyDescent="0.3">
      <c r="A939">
        <v>938</v>
      </c>
      <c r="B939" s="1">
        <v>45864</v>
      </c>
      <c r="C939" t="s">
        <v>957</v>
      </c>
      <c r="D939" t="s">
        <v>4</v>
      </c>
      <c r="E939" t="s">
        <v>19</v>
      </c>
      <c r="F939">
        <v>42</v>
      </c>
      <c r="G939" t="s">
        <v>17</v>
      </c>
      <c r="H939">
        <v>1</v>
      </c>
      <c r="I939">
        <v>165</v>
      </c>
      <c r="J939">
        <v>165</v>
      </c>
    </row>
    <row r="940" spans="1:10" x14ac:dyDescent="0.3">
      <c r="A940">
        <v>939</v>
      </c>
      <c r="B940" s="1">
        <v>45865</v>
      </c>
      <c r="C940" t="s">
        <v>958</v>
      </c>
      <c r="D940" t="s">
        <v>1</v>
      </c>
      <c r="E940" t="s">
        <v>14</v>
      </c>
      <c r="F940">
        <v>49</v>
      </c>
      <c r="G940" t="s">
        <v>17</v>
      </c>
      <c r="H940">
        <v>2</v>
      </c>
      <c r="I940">
        <v>196</v>
      </c>
      <c r="J940">
        <v>392</v>
      </c>
    </row>
    <row r="941" spans="1:10" x14ac:dyDescent="0.3">
      <c r="A941">
        <v>940</v>
      </c>
      <c r="B941" s="1">
        <v>45866</v>
      </c>
      <c r="C941" t="s">
        <v>959</v>
      </c>
      <c r="D941" t="s">
        <v>3</v>
      </c>
      <c r="E941" t="s">
        <v>14</v>
      </c>
      <c r="F941">
        <v>25</v>
      </c>
      <c r="G941" t="s">
        <v>15</v>
      </c>
      <c r="H941">
        <v>1</v>
      </c>
      <c r="I941">
        <v>306</v>
      </c>
      <c r="J941">
        <v>306</v>
      </c>
    </row>
    <row r="942" spans="1:10" x14ac:dyDescent="0.3">
      <c r="A942">
        <v>941</v>
      </c>
      <c r="B942" s="1">
        <v>45867</v>
      </c>
      <c r="C942" t="s">
        <v>960</v>
      </c>
      <c r="D942" t="s">
        <v>4</v>
      </c>
      <c r="E942" t="s">
        <v>14</v>
      </c>
      <c r="F942">
        <v>19</v>
      </c>
      <c r="G942" t="s">
        <v>17</v>
      </c>
      <c r="H942">
        <v>4</v>
      </c>
      <c r="I942">
        <v>395</v>
      </c>
      <c r="J942">
        <v>1580</v>
      </c>
    </row>
    <row r="943" spans="1:10" x14ac:dyDescent="0.3">
      <c r="A943">
        <v>942</v>
      </c>
      <c r="B943" s="1">
        <v>45868</v>
      </c>
      <c r="C943" t="s">
        <v>961</v>
      </c>
      <c r="D943" t="s">
        <v>2</v>
      </c>
      <c r="E943" t="s">
        <v>19</v>
      </c>
      <c r="F943">
        <v>33</v>
      </c>
      <c r="G943" t="s">
        <v>17</v>
      </c>
      <c r="H943">
        <v>1</v>
      </c>
      <c r="I943">
        <v>184</v>
      </c>
      <c r="J943">
        <v>184</v>
      </c>
    </row>
    <row r="944" spans="1:10" x14ac:dyDescent="0.3">
      <c r="A944">
        <v>943</v>
      </c>
      <c r="B944" s="1">
        <v>45869</v>
      </c>
      <c r="C944" t="s">
        <v>962</v>
      </c>
      <c r="D944" t="s">
        <v>2</v>
      </c>
      <c r="E944" t="s">
        <v>19</v>
      </c>
      <c r="F944">
        <v>54</v>
      </c>
      <c r="G944" t="s">
        <v>15</v>
      </c>
      <c r="H944">
        <v>1</v>
      </c>
      <c r="I944">
        <v>79</v>
      </c>
      <c r="J944">
        <v>79</v>
      </c>
    </row>
    <row r="945" spans="1:10" x14ac:dyDescent="0.3">
      <c r="A945">
        <v>944</v>
      </c>
      <c r="B945" s="1">
        <v>45870</v>
      </c>
      <c r="C945" t="s">
        <v>963</v>
      </c>
      <c r="D945" t="s">
        <v>4</v>
      </c>
      <c r="E945" t="s">
        <v>14</v>
      </c>
      <c r="F945">
        <v>27</v>
      </c>
      <c r="G945" t="s">
        <v>15</v>
      </c>
      <c r="H945">
        <v>2</v>
      </c>
      <c r="I945">
        <v>185</v>
      </c>
      <c r="J945">
        <v>370</v>
      </c>
    </row>
    <row r="946" spans="1:10" x14ac:dyDescent="0.3">
      <c r="A946">
        <v>945</v>
      </c>
      <c r="B946" s="1">
        <v>45871</v>
      </c>
      <c r="C946" t="s">
        <v>964</v>
      </c>
      <c r="D946" t="s">
        <v>1</v>
      </c>
      <c r="E946" t="s">
        <v>14</v>
      </c>
      <c r="F946">
        <v>47</v>
      </c>
      <c r="G946" t="s">
        <v>15</v>
      </c>
      <c r="H946">
        <v>1</v>
      </c>
      <c r="I946">
        <v>90</v>
      </c>
      <c r="J946">
        <v>90</v>
      </c>
    </row>
    <row r="947" spans="1:10" x14ac:dyDescent="0.3">
      <c r="A947">
        <v>946</v>
      </c>
      <c r="B947" s="1">
        <v>45872</v>
      </c>
      <c r="C947" t="s">
        <v>965</v>
      </c>
      <c r="D947" t="s">
        <v>4</v>
      </c>
      <c r="E947" t="s">
        <v>19</v>
      </c>
      <c r="F947">
        <v>54</v>
      </c>
      <c r="G947" t="s">
        <v>15</v>
      </c>
      <c r="H947">
        <v>3</v>
      </c>
      <c r="I947">
        <v>452</v>
      </c>
      <c r="J947">
        <v>1356</v>
      </c>
    </row>
    <row r="948" spans="1:10" x14ac:dyDescent="0.3">
      <c r="A948">
        <v>947</v>
      </c>
      <c r="B948" s="1">
        <v>45873</v>
      </c>
      <c r="C948" t="s">
        <v>966</v>
      </c>
      <c r="D948" t="s">
        <v>4</v>
      </c>
      <c r="E948" t="s">
        <v>19</v>
      </c>
      <c r="F948">
        <v>35</v>
      </c>
      <c r="G948" t="s">
        <v>20</v>
      </c>
      <c r="H948">
        <v>3</v>
      </c>
      <c r="I948">
        <v>421</v>
      </c>
      <c r="J948">
        <v>1263</v>
      </c>
    </row>
    <row r="949" spans="1:10" x14ac:dyDescent="0.3">
      <c r="A949">
        <v>948</v>
      </c>
      <c r="B949" s="1">
        <v>45874</v>
      </c>
      <c r="C949" t="s">
        <v>967</v>
      </c>
      <c r="D949" t="s">
        <v>3</v>
      </c>
      <c r="E949" t="s">
        <v>14</v>
      </c>
      <c r="F949">
        <v>28</v>
      </c>
      <c r="G949" t="s">
        <v>23</v>
      </c>
      <c r="H949">
        <v>5</v>
      </c>
      <c r="I949">
        <v>354</v>
      </c>
      <c r="J949">
        <v>1770</v>
      </c>
    </row>
    <row r="950" spans="1:10" x14ac:dyDescent="0.3">
      <c r="A950">
        <v>949</v>
      </c>
      <c r="B950" s="1">
        <v>45875</v>
      </c>
      <c r="C950" t="s">
        <v>968</v>
      </c>
      <c r="D950" t="s">
        <v>4</v>
      </c>
      <c r="E950" t="s">
        <v>14</v>
      </c>
      <c r="F950">
        <v>30</v>
      </c>
      <c r="G950" t="s">
        <v>15</v>
      </c>
      <c r="H950">
        <v>5</v>
      </c>
      <c r="I950">
        <v>84</v>
      </c>
      <c r="J950">
        <v>420</v>
      </c>
    </row>
    <row r="951" spans="1:10" x14ac:dyDescent="0.3">
      <c r="A951">
        <v>950</v>
      </c>
      <c r="B951" s="1">
        <v>45876</v>
      </c>
      <c r="C951" t="s">
        <v>969</v>
      </c>
      <c r="D951" t="s">
        <v>4</v>
      </c>
      <c r="E951" t="s">
        <v>19</v>
      </c>
      <c r="F951">
        <v>53</v>
      </c>
      <c r="G951" t="s">
        <v>27</v>
      </c>
      <c r="H951">
        <v>3</v>
      </c>
      <c r="I951">
        <v>315</v>
      </c>
      <c r="J951">
        <v>945</v>
      </c>
    </row>
    <row r="952" spans="1:10" x14ac:dyDescent="0.3">
      <c r="A952">
        <v>951</v>
      </c>
      <c r="B952" s="1">
        <v>45877</v>
      </c>
      <c r="C952" t="s">
        <v>970</v>
      </c>
      <c r="D952" t="s">
        <v>2</v>
      </c>
      <c r="E952" t="s">
        <v>14</v>
      </c>
      <c r="F952">
        <v>59</v>
      </c>
      <c r="G952" t="s">
        <v>17</v>
      </c>
      <c r="H952">
        <v>3</v>
      </c>
      <c r="I952">
        <v>296</v>
      </c>
      <c r="J952">
        <v>888</v>
      </c>
    </row>
    <row r="953" spans="1:10" x14ac:dyDescent="0.3">
      <c r="A953">
        <v>952</v>
      </c>
      <c r="B953" s="1">
        <v>45878</v>
      </c>
      <c r="C953" t="s">
        <v>971</v>
      </c>
      <c r="D953" t="s">
        <v>3</v>
      </c>
      <c r="E953" t="s">
        <v>19</v>
      </c>
      <c r="F953">
        <v>18</v>
      </c>
      <c r="G953" t="s">
        <v>20</v>
      </c>
      <c r="H953">
        <v>4</v>
      </c>
      <c r="I953">
        <v>458</v>
      </c>
      <c r="J953">
        <v>1832</v>
      </c>
    </row>
    <row r="954" spans="1:10" x14ac:dyDescent="0.3">
      <c r="A954">
        <v>953</v>
      </c>
      <c r="B954" s="1">
        <v>45879</v>
      </c>
      <c r="C954" t="s">
        <v>972</v>
      </c>
      <c r="D954" t="s">
        <v>2</v>
      </c>
      <c r="E954" t="s">
        <v>14</v>
      </c>
      <c r="F954">
        <v>45</v>
      </c>
      <c r="G954" t="s">
        <v>20</v>
      </c>
      <c r="H954">
        <v>3</v>
      </c>
      <c r="I954">
        <v>374</v>
      </c>
      <c r="J954">
        <v>1122</v>
      </c>
    </row>
    <row r="955" spans="1:10" x14ac:dyDescent="0.3">
      <c r="A955">
        <v>954</v>
      </c>
      <c r="B955" s="1">
        <v>45880</v>
      </c>
      <c r="C955" t="s">
        <v>973</v>
      </c>
      <c r="D955" t="s">
        <v>2</v>
      </c>
      <c r="E955" t="s">
        <v>14</v>
      </c>
      <c r="F955">
        <v>45</v>
      </c>
      <c r="G955" t="s">
        <v>27</v>
      </c>
      <c r="H955">
        <v>2</v>
      </c>
      <c r="I955">
        <v>244</v>
      </c>
      <c r="J955">
        <v>488</v>
      </c>
    </row>
    <row r="956" spans="1:10" x14ac:dyDescent="0.3">
      <c r="A956">
        <v>955</v>
      </c>
      <c r="B956" s="1">
        <v>45881</v>
      </c>
      <c r="C956" t="s">
        <v>974</v>
      </c>
      <c r="D956" t="s">
        <v>1</v>
      </c>
      <c r="E956" t="s">
        <v>14</v>
      </c>
      <c r="F956">
        <v>54</v>
      </c>
      <c r="G956" t="s">
        <v>15</v>
      </c>
      <c r="H956">
        <v>5</v>
      </c>
      <c r="I956">
        <v>365</v>
      </c>
      <c r="J956">
        <v>1825</v>
      </c>
    </row>
    <row r="957" spans="1:10" x14ac:dyDescent="0.3">
      <c r="A957">
        <v>956</v>
      </c>
      <c r="B957" s="1">
        <v>45882</v>
      </c>
      <c r="C957" t="s">
        <v>975</v>
      </c>
      <c r="D957" t="s">
        <v>1</v>
      </c>
      <c r="E957" t="s">
        <v>19</v>
      </c>
      <c r="F957">
        <v>36</v>
      </c>
      <c r="G957" t="s">
        <v>20</v>
      </c>
      <c r="H957">
        <v>3</v>
      </c>
      <c r="I957">
        <v>209</v>
      </c>
      <c r="J957">
        <v>627</v>
      </c>
    </row>
    <row r="958" spans="1:10" x14ac:dyDescent="0.3">
      <c r="A958">
        <v>957</v>
      </c>
      <c r="B958" s="1">
        <v>45883</v>
      </c>
      <c r="C958" t="s">
        <v>976</v>
      </c>
      <c r="D958" t="s">
        <v>3</v>
      </c>
      <c r="E958" t="s">
        <v>19</v>
      </c>
      <c r="F958">
        <v>32</v>
      </c>
      <c r="G958" t="s">
        <v>20</v>
      </c>
      <c r="H958">
        <v>5</v>
      </c>
      <c r="I958">
        <v>278</v>
      </c>
      <c r="J958">
        <v>1390</v>
      </c>
    </row>
    <row r="959" spans="1:10" x14ac:dyDescent="0.3">
      <c r="A959">
        <v>958</v>
      </c>
      <c r="B959" s="1">
        <v>45884</v>
      </c>
      <c r="C959" t="s">
        <v>977</v>
      </c>
      <c r="D959" t="s">
        <v>3</v>
      </c>
      <c r="E959" t="s">
        <v>19</v>
      </c>
      <c r="F959">
        <v>22</v>
      </c>
      <c r="G959" t="s">
        <v>27</v>
      </c>
      <c r="H959">
        <v>4</v>
      </c>
      <c r="I959">
        <v>486</v>
      </c>
      <c r="J959">
        <v>1944</v>
      </c>
    </row>
    <row r="960" spans="1:10" x14ac:dyDescent="0.3">
      <c r="A960">
        <v>959</v>
      </c>
      <c r="B960" s="1">
        <v>45885</v>
      </c>
      <c r="C960" t="s">
        <v>978</v>
      </c>
      <c r="D960" t="s">
        <v>1</v>
      </c>
      <c r="E960" t="s">
        <v>19</v>
      </c>
      <c r="F960">
        <v>21</v>
      </c>
      <c r="G960" t="s">
        <v>15</v>
      </c>
      <c r="H960">
        <v>5</v>
      </c>
      <c r="I960">
        <v>311</v>
      </c>
      <c r="J960">
        <v>1555</v>
      </c>
    </row>
    <row r="961" spans="1:10" x14ac:dyDescent="0.3">
      <c r="A961">
        <v>960</v>
      </c>
      <c r="B961" s="1">
        <v>45886</v>
      </c>
      <c r="C961" t="s">
        <v>979</v>
      </c>
      <c r="D961" t="s">
        <v>1</v>
      </c>
      <c r="E961" t="s">
        <v>19</v>
      </c>
      <c r="F961">
        <v>20</v>
      </c>
      <c r="G961" t="s">
        <v>20</v>
      </c>
      <c r="H961">
        <v>2</v>
      </c>
      <c r="I961">
        <v>167</v>
      </c>
      <c r="J961">
        <v>334</v>
      </c>
    </row>
    <row r="962" spans="1:10" x14ac:dyDescent="0.3">
      <c r="A962">
        <v>961</v>
      </c>
      <c r="B962" s="1">
        <v>45887</v>
      </c>
      <c r="C962" t="s">
        <v>980</v>
      </c>
      <c r="D962" t="s">
        <v>1</v>
      </c>
      <c r="E962" t="s">
        <v>19</v>
      </c>
      <c r="F962">
        <v>23</v>
      </c>
      <c r="G962" t="s">
        <v>17</v>
      </c>
      <c r="H962">
        <v>3</v>
      </c>
      <c r="I962">
        <v>159</v>
      </c>
      <c r="J962">
        <v>477</v>
      </c>
    </row>
    <row r="963" spans="1:10" x14ac:dyDescent="0.3">
      <c r="A963">
        <v>962</v>
      </c>
      <c r="B963" s="1">
        <v>45888</v>
      </c>
      <c r="C963" t="s">
        <v>981</v>
      </c>
      <c r="D963" t="s">
        <v>1</v>
      </c>
      <c r="E963" t="s">
        <v>14</v>
      </c>
      <c r="F963">
        <v>34</v>
      </c>
      <c r="G963" t="s">
        <v>15</v>
      </c>
      <c r="H963">
        <v>2</v>
      </c>
      <c r="I963">
        <v>20</v>
      </c>
      <c r="J963">
        <v>40</v>
      </c>
    </row>
    <row r="964" spans="1:10" x14ac:dyDescent="0.3">
      <c r="A964">
        <v>963</v>
      </c>
      <c r="B964" s="1">
        <v>45889</v>
      </c>
      <c r="C964" t="s">
        <v>982</v>
      </c>
      <c r="D964" t="s">
        <v>1</v>
      </c>
      <c r="E964" t="s">
        <v>14</v>
      </c>
      <c r="F964">
        <v>51</v>
      </c>
      <c r="G964" t="s">
        <v>15</v>
      </c>
      <c r="H964">
        <v>2</v>
      </c>
      <c r="I964">
        <v>495</v>
      </c>
      <c r="J964">
        <v>990</v>
      </c>
    </row>
    <row r="965" spans="1:10" x14ac:dyDescent="0.3">
      <c r="A965">
        <v>964</v>
      </c>
      <c r="B965" s="1">
        <v>45890</v>
      </c>
      <c r="C965" t="s">
        <v>983</v>
      </c>
      <c r="D965" t="s">
        <v>2</v>
      </c>
      <c r="E965" t="s">
        <v>14</v>
      </c>
      <c r="F965">
        <v>44</v>
      </c>
      <c r="G965" t="s">
        <v>23</v>
      </c>
      <c r="H965">
        <v>3</v>
      </c>
      <c r="I965">
        <v>171</v>
      </c>
      <c r="J965">
        <v>513</v>
      </c>
    </row>
    <row r="966" spans="1:10" x14ac:dyDescent="0.3">
      <c r="A966">
        <v>965</v>
      </c>
      <c r="B966" s="1">
        <v>45891</v>
      </c>
      <c r="C966" t="s">
        <v>984</v>
      </c>
      <c r="D966" t="s">
        <v>3</v>
      </c>
      <c r="E966" t="s">
        <v>14</v>
      </c>
      <c r="F966">
        <v>30</v>
      </c>
      <c r="G966" t="s">
        <v>15</v>
      </c>
      <c r="H966">
        <v>2</v>
      </c>
      <c r="I966">
        <v>151</v>
      </c>
      <c r="J966">
        <v>302</v>
      </c>
    </row>
    <row r="967" spans="1:10" x14ac:dyDescent="0.3">
      <c r="A967">
        <v>966</v>
      </c>
      <c r="B967" s="1">
        <v>45892</v>
      </c>
      <c r="C967" t="s">
        <v>985</v>
      </c>
      <c r="D967" t="s">
        <v>2</v>
      </c>
      <c r="E967" t="s">
        <v>14</v>
      </c>
      <c r="F967">
        <v>26</v>
      </c>
      <c r="G967" t="s">
        <v>27</v>
      </c>
      <c r="H967">
        <v>1</v>
      </c>
      <c r="I967">
        <v>180</v>
      </c>
      <c r="J967">
        <v>180</v>
      </c>
    </row>
    <row r="968" spans="1:10" x14ac:dyDescent="0.3">
      <c r="A968">
        <v>967</v>
      </c>
      <c r="B968" s="1">
        <v>45893</v>
      </c>
      <c r="C968" t="s">
        <v>986</v>
      </c>
      <c r="D968" t="s">
        <v>2</v>
      </c>
      <c r="E968" t="s">
        <v>19</v>
      </c>
      <c r="F968">
        <v>39</v>
      </c>
      <c r="G968" t="s">
        <v>15</v>
      </c>
      <c r="H968">
        <v>4</v>
      </c>
      <c r="I968">
        <v>107</v>
      </c>
      <c r="J968">
        <v>428</v>
      </c>
    </row>
    <row r="969" spans="1:10" x14ac:dyDescent="0.3">
      <c r="A969">
        <v>968</v>
      </c>
      <c r="B969" s="1">
        <v>45894</v>
      </c>
      <c r="C969" t="s">
        <v>987</v>
      </c>
      <c r="D969" t="s">
        <v>4</v>
      </c>
      <c r="E969" t="s">
        <v>19</v>
      </c>
      <c r="F969">
        <v>20</v>
      </c>
      <c r="G969" t="s">
        <v>17</v>
      </c>
      <c r="H969">
        <v>4</v>
      </c>
      <c r="I969">
        <v>491</v>
      </c>
      <c r="J969">
        <v>1964</v>
      </c>
    </row>
    <row r="970" spans="1:10" x14ac:dyDescent="0.3">
      <c r="A970">
        <v>969</v>
      </c>
      <c r="B970" s="1">
        <v>45895</v>
      </c>
      <c r="C970" t="s">
        <v>988</v>
      </c>
      <c r="D970" t="s">
        <v>2</v>
      </c>
      <c r="E970" t="s">
        <v>19</v>
      </c>
      <c r="F970">
        <v>46</v>
      </c>
      <c r="G970" t="s">
        <v>17</v>
      </c>
      <c r="H970">
        <v>2</v>
      </c>
      <c r="I970">
        <v>106</v>
      </c>
      <c r="J970">
        <v>212</v>
      </c>
    </row>
    <row r="971" spans="1:10" x14ac:dyDescent="0.3">
      <c r="A971">
        <v>970</v>
      </c>
      <c r="B971" s="1">
        <v>45896</v>
      </c>
      <c r="C971" t="s">
        <v>989</v>
      </c>
      <c r="D971" t="s">
        <v>1</v>
      </c>
      <c r="E971" t="s">
        <v>19</v>
      </c>
      <c r="F971">
        <v>38</v>
      </c>
      <c r="G971" t="s">
        <v>27</v>
      </c>
      <c r="H971">
        <v>2</v>
      </c>
      <c r="I971">
        <v>259</v>
      </c>
      <c r="J971">
        <v>518</v>
      </c>
    </row>
    <row r="972" spans="1:10" x14ac:dyDescent="0.3">
      <c r="A972">
        <v>971</v>
      </c>
      <c r="B972" s="1">
        <v>45897</v>
      </c>
      <c r="C972" t="s">
        <v>990</v>
      </c>
      <c r="D972" t="s">
        <v>1</v>
      </c>
      <c r="E972" t="s">
        <v>19</v>
      </c>
      <c r="F972">
        <v>44</v>
      </c>
      <c r="G972" t="s">
        <v>27</v>
      </c>
      <c r="H972">
        <v>2</v>
      </c>
      <c r="I972">
        <v>399</v>
      </c>
      <c r="J972">
        <v>798</v>
      </c>
    </row>
    <row r="973" spans="1:10" x14ac:dyDescent="0.3">
      <c r="A973">
        <v>972</v>
      </c>
      <c r="B973" s="1">
        <v>45898</v>
      </c>
      <c r="C973" t="s">
        <v>991</v>
      </c>
      <c r="D973" t="s">
        <v>4</v>
      </c>
      <c r="E973" t="s">
        <v>14</v>
      </c>
      <c r="F973">
        <v>33</v>
      </c>
      <c r="G973" t="s">
        <v>17</v>
      </c>
      <c r="H973">
        <v>4</v>
      </c>
      <c r="I973">
        <v>256</v>
      </c>
      <c r="J973">
        <v>1024</v>
      </c>
    </row>
    <row r="974" spans="1:10" x14ac:dyDescent="0.3">
      <c r="A974">
        <v>973</v>
      </c>
      <c r="B974" s="1">
        <v>45899</v>
      </c>
      <c r="C974" t="s">
        <v>992</v>
      </c>
      <c r="D974" t="s">
        <v>4</v>
      </c>
      <c r="E974" t="s">
        <v>14</v>
      </c>
      <c r="F974">
        <v>50</v>
      </c>
      <c r="G974" t="s">
        <v>23</v>
      </c>
      <c r="H974">
        <v>1</v>
      </c>
      <c r="I974">
        <v>384</v>
      </c>
      <c r="J974">
        <v>384</v>
      </c>
    </row>
    <row r="975" spans="1:10" x14ac:dyDescent="0.3">
      <c r="A975">
        <v>974</v>
      </c>
      <c r="B975" s="1">
        <v>45900</v>
      </c>
      <c r="C975" t="s">
        <v>993</v>
      </c>
      <c r="D975" t="s">
        <v>4</v>
      </c>
      <c r="E975" t="s">
        <v>14</v>
      </c>
      <c r="F975">
        <v>53</v>
      </c>
      <c r="G975" t="s">
        <v>27</v>
      </c>
      <c r="H975">
        <v>2</v>
      </c>
      <c r="I975">
        <v>284</v>
      </c>
      <c r="J975">
        <v>568</v>
      </c>
    </row>
    <row r="976" spans="1:10" x14ac:dyDescent="0.3">
      <c r="A976">
        <v>975</v>
      </c>
      <c r="B976" s="1">
        <v>45901</v>
      </c>
      <c r="C976" t="s">
        <v>994</v>
      </c>
      <c r="D976" t="s">
        <v>4</v>
      </c>
      <c r="E976" t="s">
        <v>19</v>
      </c>
      <c r="F976">
        <v>59</v>
      </c>
      <c r="G976" t="s">
        <v>27</v>
      </c>
      <c r="H976">
        <v>3</v>
      </c>
      <c r="I976">
        <v>20</v>
      </c>
      <c r="J976">
        <v>60</v>
      </c>
    </row>
    <row r="977" spans="1:10" x14ac:dyDescent="0.3">
      <c r="A977">
        <v>976</v>
      </c>
      <c r="B977" s="1">
        <v>45902</v>
      </c>
      <c r="C977" t="s">
        <v>995</v>
      </c>
      <c r="D977" t="s">
        <v>4</v>
      </c>
      <c r="E977" t="s">
        <v>19</v>
      </c>
      <c r="F977">
        <v>53</v>
      </c>
      <c r="G977" t="s">
        <v>17</v>
      </c>
      <c r="H977">
        <v>3</v>
      </c>
      <c r="I977">
        <v>386</v>
      </c>
      <c r="J977">
        <v>1158</v>
      </c>
    </row>
    <row r="978" spans="1:10" x14ac:dyDescent="0.3">
      <c r="A978">
        <v>977</v>
      </c>
      <c r="B978" s="1">
        <v>45903</v>
      </c>
      <c r="C978" t="s">
        <v>996</v>
      </c>
      <c r="D978" t="s">
        <v>2</v>
      </c>
      <c r="E978" t="s">
        <v>14</v>
      </c>
      <c r="F978">
        <v>43</v>
      </c>
      <c r="G978" t="s">
        <v>23</v>
      </c>
      <c r="H978">
        <v>3</v>
      </c>
      <c r="I978">
        <v>47</v>
      </c>
      <c r="J978">
        <v>141</v>
      </c>
    </row>
    <row r="979" spans="1:10" x14ac:dyDescent="0.3">
      <c r="A979">
        <v>978</v>
      </c>
      <c r="B979" s="1">
        <v>45904</v>
      </c>
      <c r="C979" t="s">
        <v>997</v>
      </c>
      <c r="D979" t="s">
        <v>4</v>
      </c>
      <c r="E979" t="s">
        <v>14</v>
      </c>
      <c r="F979">
        <v>31</v>
      </c>
      <c r="G979" t="s">
        <v>23</v>
      </c>
      <c r="H979">
        <v>3</v>
      </c>
      <c r="I979">
        <v>195</v>
      </c>
      <c r="J979">
        <v>585</v>
      </c>
    </row>
    <row r="980" spans="1:10" x14ac:dyDescent="0.3">
      <c r="A980">
        <v>979</v>
      </c>
      <c r="B980" s="1">
        <v>45905</v>
      </c>
      <c r="C980" t="s">
        <v>998</v>
      </c>
      <c r="D980" t="s">
        <v>2</v>
      </c>
      <c r="E980" t="s">
        <v>14</v>
      </c>
      <c r="F980">
        <v>60</v>
      </c>
      <c r="G980" t="s">
        <v>27</v>
      </c>
      <c r="H980">
        <v>5</v>
      </c>
      <c r="I980">
        <v>56</v>
      </c>
      <c r="J980">
        <v>280</v>
      </c>
    </row>
    <row r="981" spans="1:10" x14ac:dyDescent="0.3">
      <c r="A981">
        <v>980</v>
      </c>
      <c r="B981" s="1">
        <v>45906</v>
      </c>
      <c r="C981" t="s">
        <v>999</v>
      </c>
      <c r="D981" t="s">
        <v>3</v>
      </c>
      <c r="E981" t="s">
        <v>19</v>
      </c>
      <c r="F981">
        <v>43</v>
      </c>
      <c r="G981" t="s">
        <v>20</v>
      </c>
      <c r="H981">
        <v>5</v>
      </c>
      <c r="I981">
        <v>247</v>
      </c>
      <c r="J981">
        <v>1235</v>
      </c>
    </row>
    <row r="982" spans="1:10" x14ac:dyDescent="0.3">
      <c r="A982">
        <v>981</v>
      </c>
      <c r="B982" s="1">
        <v>45907</v>
      </c>
      <c r="C982" t="s">
        <v>1000</v>
      </c>
      <c r="D982" t="s">
        <v>4</v>
      </c>
      <c r="E982" t="s">
        <v>19</v>
      </c>
      <c r="F982">
        <v>55</v>
      </c>
      <c r="G982" t="s">
        <v>20</v>
      </c>
      <c r="H982">
        <v>1</v>
      </c>
      <c r="I982">
        <v>190</v>
      </c>
      <c r="J982">
        <v>190</v>
      </c>
    </row>
    <row r="983" spans="1:10" x14ac:dyDescent="0.3">
      <c r="A983">
        <v>982</v>
      </c>
      <c r="B983" s="1">
        <v>45908</v>
      </c>
      <c r="C983" t="s">
        <v>1001</v>
      </c>
      <c r="D983" t="s">
        <v>4</v>
      </c>
      <c r="E983" t="s">
        <v>14</v>
      </c>
      <c r="F983">
        <v>38</v>
      </c>
      <c r="G983" t="s">
        <v>17</v>
      </c>
      <c r="H983">
        <v>2</v>
      </c>
      <c r="I983">
        <v>220</v>
      </c>
      <c r="J983">
        <v>440</v>
      </c>
    </row>
    <row r="984" spans="1:10" x14ac:dyDescent="0.3">
      <c r="A984">
        <v>983</v>
      </c>
      <c r="B984" s="1">
        <v>45909</v>
      </c>
      <c r="C984" t="s">
        <v>1002</v>
      </c>
      <c r="D984" t="s">
        <v>2</v>
      </c>
      <c r="E984" t="s">
        <v>14</v>
      </c>
      <c r="F984">
        <v>50</v>
      </c>
      <c r="G984" t="s">
        <v>15</v>
      </c>
      <c r="H984">
        <v>1</v>
      </c>
      <c r="I984">
        <v>312</v>
      </c>
      <c r="J984">
        <v>312</v>
      </c>
    </row>
    <row r="985" spans="1:10" x14ac:dyDescent="0.3">
      <c r="A985">
        <v>984</v>
      </c>
      <c r="B985" s="1">
        <v>45910</v>
      </c>
      <c r="C985" t="s">
        <v>1003</v>
      </c>
      <c r="D985" t="s">
        <v>3</v>
      </c>
      <c r="E985" t="s">
        <v>14</v>
      </c>
      <c r="F985">
        <v>22</v>
      </c>
      <c r="G985" t="s">
        <v>23</v>
      </c>
      <c r="H985">
        <v>1</v>
      </c>
      <c r="I985">
        <v>371</v>
      </c>
      <c r="J985">
        <v>371</v>
      </c>
    </row>
    <row r="986" spans="1:10" x14ac:dyDescent="0.3">
      <c r="A986">
        <v>985</v>
      </c>
      <c r="B986" s="1">
        <v>45911</v>
      </c>
      <c r="C986" t="s">
        <v>1004</v>
      </c>
      <c r="D986" t="s">
        <v>2</v>
      </c>
      <c r="E986" t="s">
        <v>14</v>
      </c>
      <c r="F986">
        <v>59</v>
      </c>
      <c r="G986" t="s">
        <v>15</v>
      </c>
      <c r="H986">
        <v>1</v>
      </c>
      <c r="I986">
        <v>87</v>
      </c>
      <c r="J986">
        <v>87</v>
      </c>
    </row>
    <row r="987" spans="1:10" x14ac:dyDescent="0.3">
      <c r="A987">
        <v>986</v>
      </c>
      <c r="B987" s="1">
        <v>45912</v>
      </c>
      <c r="C987" t="s">
        <v>1005</v>
      </c>
      <c r="D987" t="s">
        <v>2</v>
      </c>
      <c r="E987" t="s">
        <v>14</v>
      </c>
      <c r="F987">
        <v>47</v>
      </c>
      <c r="G987" t="s">
        <v>27</v>
      </c>
      <c r="H987">
        <v>2</v>
      </c>
      <c r="I987">
        <v>397</v>
      </c>
      <c r="J987">
        <v>794</v>
      </c>
    </row>
    <row r="988" spans="1:10" x14ac:dyDescent="0.3">
      <c r="A988">
        <v>987</v>
      </c>
      <c r="B988" s="1">
        <v>45913</v>
      </c>
      <c r="C988" t="s">
        <v>1006</v>
      </c>
      <c r="D988" t="s">
        <v>4</v>
      </c>
      <c r="E988" t="s">
        <v>19</v>
      </c>
      <c r="F988">
        <v>25</v>
      </c>
      <c r="G988" t="s">
        <v>15</v>
      </c>
      <c r="H988">
        <v>1</v>
      </c>
      <c r="I988">
        <v>25</v>
      </c>
      <c r="J988">
        <v>25</v>
      </c>
    </row>
    <row r="989" spans="1:10" x14ac:dyDescent="0.3">
      <c r="A989">
        <v>988</v>
      </c>
      <c r="B989" s="1">
        <v>45914</v>
      </c>
      <c r="C989" t="s">
        <v>1007</v>
      </c>
      <c r="D989" t="s">
        <v>1</v>
      </c>
      <c r="E989" t="s">
        <v>14</v>
      </c>
      <c r="F989">
        <v>47</v>
      </c>
      <c r="G989" t="s">
        <v>20</v>
      </c>
      <c r="H989">
        <v>2</v>
      </c>
      <c r="I989">
        <v>401</v>
      </c>
      <c r="J989">
        <v>802</v>
      </c>
    </row>
    <row r="990" spans="1:10" x14ac:dyDescent="0.3">
      <c r="A990">
        <v>989</v>
      </c>
      <c r="B990" s="1">
        <v>45915</v>
      </c>
      <c r="C990" t="s">
        <v>1008</v>
      </c>
      <c r="D990" t="s">
        <v>1</v>
      </c>
      <c r="E990" t="s">
        <v>19</v>
      </c>
      <c r="F990">
        <v>52</v>
      </c>
      <c r="G990" t="s">
        <v>17</v>
      </c>
      <c r="H990">
        <v>2</v>
      </c>
      <c r="I990">
        <v>338</v>
      </c>
      <c r="J990">
        <v>676</v>
      </c>
    </row>
    <row r="991" spans="1:10" x14ac:dyDescent="0.3">
      <c r="A991">
        <v>990</v>
      </c>
      <c r="B991" s="1">
        <v>45916</v>
      </c>
      <c r="C991" t="s">
        <v>1009</v>
      </c>
      <c r="D991" t="s">
        <v>2</v>
      </c>
      <c r="E991" t="s">
        <v>19</v>
      </c>
      <c r="F991">
        <v>21</v>
      </c>
      <c r="G991" t="s">
        <v>17</v>
      </c>
      <c r="H991">
        <v>2</v>
      </c>
      <c r="I991">
        <v>92</v>
      </c>
      <c r="J991">
        <v>184</v>
      </c>
    </row>
    <row r="992" spans="1:10" x14ac:dyDescent="0.3">
      <c r="A992">
        <v>991</v>
      </c>
      <c r="B992" s="1">
        <v>45917</v>
      </c>
      <c r="C992" t="s">
        <v>1010</v>
      </c>
      <c r="D992" t="s">
        <v>4</v>
      </c>
      <c r="E992" t="s">
        <v>14</v>
      </c>
      <c r="F992">
        <v>24</v>
      </c>
      <c r="G992" t="s">
        <v>27</v>
      </c>
      <c r="H992">
        <v>4</v>
      </c>
      <c r="I992">
        <v>186</v>
      </c>
      <c r="J992">
        <v>744</v>
      </c>
    </row>
    <row r="993" spans="1:10" x14ac:dyDescent="0.3">
      <c r="A993">
        <v>992</v>
      </c>
      <c r="B993" s="1">
        <v>45918</v>
      </c>
      <c r="C993" t="s">
        <v>1011</v>
      </c>
      <c r="D993" t="s">
        <v>3</v>
      </c>
      <c r="E993" t="s">
        <v>19</v>
      </c>
      <c r="F993">
        <v>59</v>
      </c>
      <c r="G993" t="s">
        <v>17</v>
      </c>
      <c r="H993">
        <v>1</v>
      </c>
      <c r="I993">
        <v>311</v>
      </c>
      <c r="J993">
        <v>311</v>
      </c>
    </row>
    <row r="994" spans="1:10" x14ac:dyDescent="0.3">
      <c r="A994">
        <v>993</v>
      </c>
      <c r="B994" s="1">
        <v>45919</v>
      </c>
      <c r="C994" t="s">
        <v>1012</v>
      </c>
      <c r="D994" t="s">
        <v>1</v>
      </c>
      <c r="E994" t="s">
        <v>14</v>
      </c>
      <c r="F994">
        <v>43</v>
      </c>
      <c r="G994" t="s">
        <v>20</v>
      </c>
      <c r="H994">
        <v>5</v>
      </c>
      <c r="I994">
        <v>222</v>
      </c>
      <c r="J994">
        <v>1110</v>
      </c>
    </row>
    <row r="995" spans="1:10" x14ac:dyDescent="0.3">
      <c r="A995">
        <v>994</v>
      </c>
      <c r="B995" s="1">
        <v>45920</v>
      </c>
      <c r="C995" t="s">
        <v>1013</v>
      </c>
      <c r="D995" t="s">
        <v>3</v>
      </c>
      <c r="E995" t="s">
        <v>19</v>
      </c>
      <c r="F995">
        <v>47</v>
      </c>
      <c r="G995" t="s">
        <v>15</v>
      </c>
      <c r="H995">
        <v>1</v>
      </c>
      <c r="I995">
        <v>204</v>
      </c>
      <c r="J995">
        <v>204</v>
      </c>
    </row>
    <row r="996" spans="1:10" x14ac:dyDescent="0.3">
      <c r="A996">
        <v>995</v>
      </c>
      <c r="B996" s="1">
        <v>45921</v>
      </c>
      <c r="C996" t="s">
        <v>1014</v>
      </c>
      <c r="D996" t="s">
        <v>1</v>
      </c>
      <c r="E996" t="s">
        <v>14</v>
      </c>
      <c r="F996">
        <v>40</v>
      </c>
      <c r="G996" t="s">
        <v>23</v>
      </c>
      <c r="H996">
        <v>4</v>
      </c>
      <c r="I996">
        <v>453</v>
      </c>
      <c r="J996">
        <v>1812</v>
      </c>
    </row>
    <row r="997" spans="1:10" x14ac:dyDescent="0.3">
      <c r="A997">
        <v>996</v>
      </c>
      <c r="B997" s="1">
        <v>45922</v>
      </c>
      <c r="C997" t="s">
        <v>1015</v>
      </c>
      <c r="D997" t="s">
        <v>4</v>
      </c>
      <c r="E997" t="s">
        <v>19</v>
      </c>
      <c r="F997">
        <v>25</v>
      </c>
      <c r="G997" t="s">
        <v>27</v>
      </c>
      <c r="H997">
        <v>1</v>
      </c>
      <c r="I997">
        <v>149</v>
      </c>
      <c r="J997">
        <v>149</v>
      </c>
    </row>
    <row r="998" spans="1:10" x14ac:dyDescent="0.3">
      <c r="A998">
        <v>997</v>
      </c>
      <c r="B998" s="1">
        <v>45923</v>
      </c>
      <c r="C998" t="s">
        <v>1016</v>
      </c>
      <c r="D998" t="s">
        <v>2</v>
      </c>
      <c r="E998" t="s">
        <v>19</v>
      </c>
      <c r="F998">
        <v>48</v>
      </c>
      <c r="G998" t="s">
        <v>23</v>
      </c>
      <c r="H998">
        <v>3</v>
      </c>
      <c r="I998">
        <v>189</v>
      </c>
      <c r="J998">
        <v>567</v>
      </c>
    </row>
    <row r="999" spans="1:10" x14ac:dyDescent="0.3">
      <c r="A999">
        <v>998</v>
      </c>
      <c r="B999" s="1">
        <v>45924</v>
      </c>
      <c r="C999" t="s">
        <v>1017</v>
      </c>
      <c r="D999" t="s">
        <v>3</v>
      </c>
      <c r="E999" t="s">
        <v>19</v>
      </c>
      <c r="F999">
        <v>51</v>
      </c>
      <c r="G999" t="s">
        <v>27</v>
      </c>
      <c r="H999">
        <v>1</v>
      </c>
      <c r="I999">
        <v>120</v>
      </c>
      <c r="J999">
        <v>120</v>
      </c>
    </row>
    <row r="1000" spans="1:10" x14ac:dyDescent="0.3">
      <c r="A1000">
        <v>999</v>
      </c>
      <c r="B1000" s="1">
        <v>45925</v>
      </c>
      <c r="C1000" t="s">
        <v>1018</v>
      </c>
      <c r="D1000" t="s">
        <v>3</v>
      </c>
      <c r="E1000" t="s">
        <v>14</v>
      </c>
      <c r="F1000">
        <v>29</v>
      </c>
      <c r="G1000" t="s">
        <v>17</v>
      </c>
      <c r="H1000">
        <v>1</v>
      </c>
      <c r="I1000">
        <v>444</v>
      </c>
      <c r="J1000">
        <v>444</v>
      </c>
    </row>
    <row r="1001" spans="1:10" x14ac:dyDescent="0.3">
      <c r="A1001">
        <v>1000</v>
      </c>
      <c r="B1001" s="1">
        <v>45926</v>
      </c>
      <c r="C1001" t="s">
        <v>1019</v>
      </c>
      <c r="D1001" t="s">
        <v>2</v>
      </c>
      <c r="E1001" t="s">
        <v>14</v>
      </c>
      <c r="F1001">
        <v>39</v>
      </c>
      <c r="G1001" t="s">
        <v>20</v>
      </c>
      <c r="H1001">
        <v>3</v>
      </c>
      <c r="I1001">
        <v>205</v>
      </c>
      <c r="J1001">
        <v>615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58AFB-3FFB-49F3-A418-289AD1753CD4}">
  <dimension ref="A1:T1001"/>
  <sheetViews>
    <sheetView topLeftCell="C1" zoomScale="75" workbookViewId="0">
      <selection sqref="A1:J1001"/>
    </sheetView>
  </sheetViews>
  <sheetFormatPr defaultRowHeight="14.4" x14ac:dyDescent="0.3"/>
  <cols>
    <col min="1" max="1" width="14.88671875" customWidth="1"/>
    <col min="2" max="2" width="10.33203125" style="19" bestFit="1" customWidth="1"/>
    <col min="3" max="3" width="13.21875" customWidth="1"/>
    <col min="4" max="4" width="13.33203125" customWidth="1"/>
    <col min="5" max="5" width="9" customWidth="1"/>
    <col min="6" max="6" width="6.109375" customWidth="1"/>
    <col min="7" max="7" width="17.5546875" customWidth="1"/>
    <col min="8" max="8" width="10.21875" customWidth="1"/>
    <col min="9" max="9" width="14.21875" customWidth="1"/>
    <col min="10" max="10" width="14.44140625" customWidth="1"/>
    <col min="15" max="15" width="14.6640625" bestFit="1" customWidth="1"/>
    <col min="19" max="19" width="15.21875" bestFit="1" customWidth="1"/>
  </cols>
  <sheetData>
    <row r="1" spans="1:20" x14ac:dyDescent="0.3">
      <c r="A1" s="12" t="s">
        <v>5</v>
      </c>
      <c r="B1" s="20" t="s">
        <v>0</v>
      </c>
      <c r="C1" s="13" t="s">
        <v>6</v>
      </c>
      <c r="D1" s="13" t="s">
        <v>1020</v>
      </c>
      <c r="E1" s="13" t="s">
        <v>7</v>
      </c>
      <c r="F1" s="13" t="s">
        <v>8</v>
      </c>
      <c r="G1" s="13" t="s">
        <v>9</v>
      </c>
      <c r="H1" s="13" t="s">
        <v>10</v>
      </c>
      <c r="I1" s="13" t="s">
        <v>11</v>
      </c>
      <c r="J1" s="14" t="s">
        <v>12</v>
      </c>
      <c r="M1" s="9" t="s">
        <v>1025</v>
      </c>
      <c r="N1" s="9" t="s">
        <v>1026</v>
      </c>
      <c r="O1" s="9" t="s">
        <v>1027</v>
      </c>
      <c r="R1" s="9" t="s">
        <v>1024</v>
      </c>
      <c r="S1" s="9" t="s">
        <v>9</v>
      </c>
      <c r="T1" s="9" t="s">
        <v>7</v>
      </c>
    </row>
    <row r="2" spans="1:20" x14ac:dyDescent="0.3">
      <c r="A2" s="10">
        <v>1</v>
      </c>
      <c r="B2" s="18">
        <v>44927</v>
      </c>
      <c r="C2" s="6" t="s">
        <v>13</v>
      </c>
      <c r="D2" s="6" t="s">
        <v>1</v>
      </c>
      <c r="E2" s="6" t="s">
        <v>14</v>
      </c>
      <c r="F2" s="6">
        <v>26</v>
      </c>
      <c r="G2" s="6" t="s">
        <v>15</v>
      </c>
      <c r="H2" s="6">
        <v>3</v>
      </c>
      <c r="I2" s="6">
        <v>318</v>
      </c>
      <c r="J2" s="11">
        <v>954</v>
      </c>
      <c r="M2" s="6" t="str" cm="1">
        <f t="array" ref="M2">_xlfn.IFS(J2&lt;=500,"Low",J2&gt;=1500,"Mid",J2&lt;=1500,"High",TRUE,"no")</f>
        <v>High</v>
      </c>
      <c r="N2" s="6">
        <f>MATCH(D2,$D$2:$D$1001,0)</f>
        <v>1</v>
      </c>
      <c r="O2" s="6" t="str">
        <f>INDEX(D2:D1001,MATCH($D$2,$D$2:$D$1001,0))</f>
        <v>Charlie</v>
      </c>
      <c r="R2" s="5" t="str" cm="1">
        <f t="array" ref="R2:R5">_xlfn.UNIQUE(Sales[[SalesPerson ]])</f>
        <v>Charlie</v>
      </c>
      <c r="S2" s="5" t="str" cm="1">
        <f t="array" ref="S2:S6">_xlfn.UNIQUE(Sales[Product Category])</f>
        <v>Beauty</v>
      </c>
      <c r="T2" s="5" t="s">
        <v>14</v>
      </c>
    </row>
    <row r="3" spans="1:20" x14ac:dyDescent="0.3">
      <c r="A3" s="10">
        <v>2</v>
      </c>
      <c r="B3" s="18">
        <v>44928</v>
      </c>
      <c r="C3" s="6" t="s">
        <v>16</v>
      </c>
      <c r="D3" s="6" t="s">
        <v>2</v>
      </c>
      <c r="E3" s="6" t="s">
        <v>14</v>
      </c>
      <c r="F3" s="6">
        <v>41</v>
      </c>
      <c r="G3" s="6" t="s">
        <v>17</v>
      </c>
      <c r="H3" s="6">
        <v>3</v>
      </c>
      <c r="I3" s="6">
        <v>433</v>
      </c>
      <c r="J3" s="11">
        <v>1299</v>
      </c>
      <c r="M3" s="6" t="str" cm="1">
        <f t="array" ref="M3">_xlfn.IFS(J3&lt;=500,"Low",J3&gt;=1500,"Mid",J3&lt;=1500,"High",TRUE,"no")</f>
        <v>High</v>
      </c>
      <c r="N3" s="6">
        <f t="shared" ref="N3:N66" si="0">MATCH(D3,$D$2:$D$1001,0)</f>
        <v>2</v>
      </c>
      <c r="O3" s="6" t="str">
        <f t="shared" ref="O3:O66" si="1">INDEX(D3:D1002,MATCH($D$2,$D$2:$D$1001,0))</f>
        <v>Diana</v>
      </c>
      <c r="R3" s="5" t="str">
        <v>Diana</v>
      </c>
      <c r="S3" s="5" t="str">
        <v>Sports</v>
      </c>
      <c r="T3" s="5" t="s">
        <v>19</v>
      </c>
    </row>
    <row r="4" spans="1:20" x14ac:dyDescent="0.3">
      <c r="A4" s="10">
        <v>3</v>
      </c>
      <c r="B4" s="18">
        <v>44929</v>
      </c>
      <c r="C4" s="6" t="s">
        <v>18</v>
      </c>
      <c r="D4" s="6" t="s">
        <v>1</v>
      </c>
      <c r="E4" s="6" t="s">
        <v>19</v>
      </c>
      <c r="F4" s="6">
        <v>40</v>
      </c>
      <c r="G4" s="6" t="s">
        <v>20</v>
      </c>
      <c r="H4" s="6">
        <v>4</v>
      </c>
      <c r="I4" s="6">
        <v>424</v>
      </c>
      <c r="J4" s="11">
        <v>1696</v>
      </c>
      <c r="M4" s="6" t="str" cm="1">
        <f t="array" ref="M4">_xlfn.IFS(J4&lt;=500,"Low",J4&gt;=1500,"Mid",J4&lt;=1500,"High",TRUE,"no")</f>
        <v>Mid</v>
      </c>
      <c r="N4" s="6">
        <f t="shared" si="0"/>
        <v>1</v>
      </c>
      <c r="O4" s="6" t="str">
        <f t="shared" si="1"/>
        <v>Charlie</v>
      </c>
      <c r="R4" s="5" t="str">
        <v>Bob</v>
      </c>
      <c r="S4" s="5" t="str">
        <v>Clothing</v>
      </c>
      <c r="T4" s="5" t="s">
        <v>14</v>
      </c>
    </row>
    <row r="5" spans="1:20" x14ac:dyDescent="0.3">
      <c r="A5" s="10">
        <v>4</v>
      </c>
      <c r="B5" s="18">
        <v>44930</v>
      </c>
      <c r="C5" s="6" t="s">
        <v>21</v>
      </c>
      <c r="D5" s="6" t="s">
        <v>2</v>
      </c>
      <c r="E5" s="6" t="s">
        <v>14</v>
      </c>
      <c r="F5" s="6">
        <v>58</v>
      </c>
      <c r="G5" s="6" t="s">
        <v>15</v>
      </c>
      <c r="H5" s="6">
        <v>2</v>
      </c>
      <c r="I5" s="6">
        <v>106</v>
      </c>
      <c r="J5" s="11">
        <v>212</v>
      </c>
      <c r="M5" s="6" t="str" cm="1">
        <f t="array" ref="M5">_xlfn.IFS(J5&lt;=500,"Low",J5&gt;=1500,"Mid",J5&lt;=1500,"High",TRUE,"no")</f>
        <v>Low</v>
      </c>
      <c r="N5" s="6">
        <f t="shared" si="0"/>
        <v>2</v>
      </c>
      <c r="O5" s="6" t="str">
        <f t="shared" si="1"/>
        <v>Diana</v>
      </c>
      <c r="R5" s="5" t="str">
        <v>Alice</v>
      </c>
      <c r="S5" s="5" t="str">
        <v>Grocery</v>
      </c>
      <c r="T5" s="5" t="s">
        <v>19</v>
      </c>
    </row>
    <row r="6" spans="1:20" x14ac:dyDescent="0.3">
      <c r="A6" s="10">
        <v>5</v>
      </c>
      <c r="B6" s="18">
        <v>44931</v>
      </c>
      <c r="C6" s="6" t="s">
        <v>22</v>
      </c>
      <c r="D6" s="6" t="s">
        <v>2</v>
      </c>
      <c r="E6" s="6" t="s">
        <v>14</v>
      </c>
      <c r="F6" s="6">
        <v>29</v>
      </c>
      <c r="G6" s="6" t="s">
        <v>23</v>
      </c>
      <c r="H6" s="6">
        <v>1</v>
      </c>
      <c r="I6" s="6">
        <v>300</v>
      </c>
      <c r="J6" s="11">
        <v>300</v>
      </c>
      <c r="M6" s="6" t="str" cm="1">
        <f t="array" ref="M6">_xlfn.IFS(J6&lt;=500,"Low",J6&gt;=1500,"Mid",J6&lt;=1500,"High",TRUE,"no")</f>
        <v>Low</v>
      </c>
      <c r="N6" s="6">
        <f t="shared" si="0"/>
        <v>2</v>
      </c>
      <c r="O6" s="6" t="str">
        <f t="shared" si="1"/>
        <v>Diana</v>
      </c>
      <c r="R6" s="5" t="s">
        <v>1</v>
      </c>
      <c r="S6" s="5" t="str">
        <v>Electronics</v>
      </c>
      <c r="T6" s="5" t="s">
        <v>19</v>
      </c>
    </row>
    <row r="7" spans="1:20" x14ac:dyDescent="0.3">
      <c r="A7" s="10">
        <v>6</v>
      </c>
      <c r="B7" s="18">
        <v>44932</v>
      </c>
      <c r="C7" s="6" t="s">
        <v>24</v>
      </c>
      <c r="D7" s="6" t="s">
        <v>1</v>
      </c>
      <c r="E7" s="6" t="s">
        <v>14</v>
      </c>
      <c r="F7" s="6">
        <v>19</v>
      </c>
      <c r="G7" s="6" t="s">
        <v>20</v>
      </c>
      <c r="H7" s="6">
        <v>4</v>
      </c>
      <c r="I7" s="6">
        <v>164</v>
      </c>
      <c r="J7" s="11">
        <v>656</v>
      </c>
      <c r="M7" s="6" t="str" cm="1">
        <f t="array" ref="M7">_xlfn.IFS(J7&lt;=500,"Low",J7&gt;=1500,"Mid",J7&lt;=1500,"High",TRUE,"no")</f>
        <v>High</v>
      </c>
      <c r="N7" s="6">
        <f t="shared" si="0"/>
        <v>1</v>
      </c>
      <c r="O7" s="6" t="str">
        <f t="shared" si="1"/>
        <v>Charlie</v>
      </c>
    </row>
    <row r="8" spans="1:20" x14ac:dyDescent="0.3">
      <c r="A8" s="10">
        <v>7</v>
      </c>
      <c r="B8" s="18">
        <v>44933</v>
      </c>
      <c r="C8" s="6" t="s">
        <v>25</v>
      </c>
      <c r="D8" s="6" t="s">
        <v>3</v>
      </c>
      <c r="E8" s="6" t="s">
        <v>14</v>
      </c>
      <c r="F8" s="6">
        <v>39</v>
      </c>
      <c r="G8" s="6" t="s">
        <v>23</v>
      </c>
      <c r="H8" s="6">
        <v>3</v>
      </c>
      <c r="I8" s="6">
        <v>107</v>
      </c>
      <c r="J8" s="11">
        <v>321</v>
      </c>
      <c r="M8" s="6" t="str" cm="1">
        <f t="array" ref="M8">_xlfn.IFS(J8&lt;=500,"Low",J8&gt;=1500,"Mid",J8&lt;=1500,"High",TRUE,"no")</f>
        <v>Low</v>
      </c>
      <c r="N8" s="6">
        <f t="shared" si="0"/>
        <v>7</v>
      </c>
      <c r="O8" s="6" t="str">
        <f t="shared" si="1"/>
        <v>Bob</v>
      </c>
    </row>
    <row r="9" spans="1:20" x14ac:dyDescent="0.3">
      <c r="A9" s="10">
        <v>8</v>
      </c>
      <c r="B9" s="18">
        <v>44934</v>
      </c>
      <c r="C9" s="6" t="s">
        <v>26</v>
      </c>
      <c r="D9" s="6" t="s">
        <v>2</v>
      </c>
      <c r="E9" s="6" t="s">
        <v>19</v>
      </c>
      <c r="F9" s="6">
        <v>29</v>
      </c>
      <c r="G9" s="6" t="s">
        <v>27</v>
      </c>
      <c r="H9" s="6">
        <v>5</v>
      </c>
      <c r="I9" s="6">
        <v>494</v>
      </c>
      <c r="J9" s="11">
        <v>2470</v>
      </c>
      <c r="M9" s="6" t="str" cm="1">
        <f t="array" ref="M9">_xlfn.IFS(J9&lt;=500,"Low",J9&gt;=1500,"Mid",J9&lt;=1500,"High",TRUE,"no")</f>
        <v>Mid</v>
      </c>
      <c r="N9" s="6">
        <f t="shared" si="0"/>
        <v>2</v>
      </c>
      <c r="O9" s="6" t="str">
        <f t="shared" si="1"/>
        <v>Diana</v>
      </c>
    </row>
    <row r="10" spans="1:20" x14ac:dyDescent="0.3">
      <c r="A10" s="10">
        <v>9</v>
      </c>
      <c r="B10" s="18">
        <v>44935</v>
      </c>
      <c r="C10" s="6" t="s">
        <v>28</v>
      </c>
      <c r="D10" s="6" t="s">
        <v>1</v>
      </c>
      <c r="E10" s="6" t="s">
        <v>14</v>
      </c>
      <c r="F10" s="6">
        <v>43</v>
      </c>
      <c r="G10" s="6" t="s">
        <v>27</v>
      </c>
      <c r="H10" s="6">
        <v>2</v>
      </c>
      <c r="I10" s="6">
        <v>143</v>
      </c>
      <c r="J10" s="11">
        <v>286</v>
      </c>
      <c r="M10" s="6" t="str" cm="1">
        <f t="array" ref="M10">_xlfn.IFS(J10&lt;=500,"Low",J10&gt;=1500,"Mid",J10&lt;=1500,"High",TRUE,"no")</f>
        <v>Low</v>
      </c>
      <c r="N10" s="6">
        <f t="shared" si="0"/>
        <v>1</v>
      </c>
      <c r="O10" s="6" t="str">
        <f t="shared" si="1"/>
        <v>Charlie</v>
      </c>
      <c r="R10" s="8" t="s">
        <v>1024</v>
      </c>
      <c r="S10" s="8" t="s">
        <v>9</v>
      </c>
      <c r="T10" s="8" t="s">
        <v>7</v>
      </c>
    </row>
    <row r="11" spans="1:20" x14ac:dyDescent="0.3">
      <c r="A11" s="10">
        <v>10</v>
      </c>
      <c r="B11" s="18">
        <v>44936</v>
      </c>
      <c r="C11" s="6" t="s">
        <v>29</v>
      </c>
      <c r="D11" s="6" t="s">
        <v>4</v>
      </c>
      <c r="E11" s="6" t="s">
        <v>14</v>
      </c>
      <c r="F11" s="6">
        <v>31</v>
      </c>
      <c r="G11" s="6" t="s">
        <v>17</v>
      </c>
      <c r="H11" s="6">
        <v>1</v>
      </c>
      <c r="I11" s="6">
        <v>295</v>
      </c>
      <c r="J11" s="11">
        <v>295</v>
      </c>
      <c r="M11" s="6" t="str" cm="1">
        <f t="array" ref="M11">_xlfn.IFS(J11&lt;=500,"Low",J11&gt;=1500,"Mid",J11&lt;=1500,"High",TRUE,"no")</f>
        <v>Low</v>
      </c>
      <c r="N11" s="6">
        <f t="shared" si="0"/>
        <v>10</v>
      </c>
      <c r="O11" s="6" t="str">
        <f t="shared" si="1"/>
        <v>Alice</v>
      </c>
      <c r="R11" s="7" t="s">
        <v>1</v>
      </c>
      <c r="S11" s="7" t="str">
        <f>VLOOKUP($R$11,$R$2:$T$6,2,FALSE)</f>
        <v>Beauty</v>
      </c>
      <c r="T11" s="7" t="str">
        <f>VLOOKUP($R$11,$R$2:$T$6,3,FALSE)</f>
        <v>Male</v>
      </c>
    </row>
    <row r="12" spans="1:20" x14ac:dyDescent="0.3">
      <c r="A12" s="10">
        <v>11</v>
      </c>
      <c r="B12" s="18">
        <v>44937</v>
      </c>
      <c r="C12" s="6" t="s">
        <v>30</v>
      </c>
      <c r="D12" s="6" t="s">
        <v>1</v>
      </c>
      <c r="E12" s="6" t="s">
        <v>14</v>
      </c>
      <c r="F12" s="6">
        <v>22</v>
      </c>
      <c r="G12" s="6" t="s">
        <v>15</v>
      </c>
      <c r="H12" s="6">
        <v>4</v>
      </c>
      <c r="I12" s="6">
        <v>292</v>
      </c>
      <c r="J12" s="11">
        <v>1168</v>
      </c>
      <c r="M12" s="6" t="str" cm="1">
        <f t="array" ref="M12">_xlfn.IFS(J12&lt;=500,"Low",J12&gt;=1500,"Mid",J12&lt;=1500,"High",TRUE,"no")</f>
        <v>High</v>
      </c>
      <c r="N12" s="6">
        <f t="shared" si="0"/>
        <v>1</v>
      </c>
      <c r="O12" s="6" t="str">
        <f t="shared" si="1"/>
        <v>Charlie</v>
      </c>
    </row>
    <row r="13" spans="1:20" x14ac:dyDescent="0.3">
      <c r="A13" s="10">
        <v>12</v>
      </c>
      <c r="B13" s="18">
        <v>44938</v>
      </c>
      <c r="C13" s="6" t="s">
        <v>31</v>
      </c>
      <c r="D13" s="6" t="s">
        <v>4</v>
      </c>
      <c r="E13" s="6" t="s">
        <v>19</v>
      </c>
      <c r="F13" s="6">
        <v>26</v>
      </c>
      <c r="G13" s="6" t="s">
        <v>20</v>
      </c>
      <c r="H13" s="6">
        <v>2</v>
      </c>
      <c r="I13" s="6">
        <v>443</v>
      </c>
      <c r="J13" s="11">
        <v>886</v>
      </c>
      <c r="M13" s="6" t="str" cm="1">
        <f t="array" ref="M13">_xlfn.IFS(J13&lt;=500,"Low",J13&gt;=1500,"Mid",J13&lt;=1500,"High",TRUE,"no")</f>
        <v>High</v>
      </c>
      <c r="N13" s="6">
        <f t="shared" si="0"/>
        <v>10</v>
      </c>
      <c r="O13" s="6" t="str">
        <f t="shared" si="1"/>
        <v>Alice</v>
      </c>
    </row>
    <row r="14" spans="1:20" x14ac:dyDescent="0.3">
      <c r="A14" s="10">
        <v>13</v>
      </c>
      <c r="B14" s="18">
        <v>44939</v>
      </c>
      <c r="C14" s="6" t="s">
        <v>32</v>
      </c>
      <c r="D14" s="6" t="s">
        <v>2</v>
      </c>
      <c r="E14" s="6" t="s">
        <v>14</v>
      </c>
      <c r="F14" s="6">
        <v>34</v>
      </c>
      <c r="G14" s="6" t="s">
        <v>15</v>
      </c>
      <c r="H14" s="6">
        <v>4</v>
      </c>
      <c r="I14" s="6">
        <v>411</v>
      </c>
      <c r="J14" s="11">
        <v>1644</v>
      </c>
      <c r="M14" s="6" t="str" cm="1">
        <f t="array" ref="M14">_xlfn.IFS(J14&lt;=500,"Low",J14&gt;=1500,"Mid",J14&lt;=1500,"High",TRUE,"no")</f>
        <v>Mid</v>
      </c>
      <c r="N14" s="6">
        <f t="shared" si="0"/>
        <v>2</v>
      </c>
      <c r="O14" s="6" t="str">
        <f t="shared" si="1"/>
        <v>Diana</v>
      </c>
    </row>
    <row r="15" spans="1:20" x14ac:dyDescent="0.3">
      <c r="A15" s="10">
        <v>14</v>
      </c>
      <c r="B15" s="18">
        <v>44940</v>
      </c>
      <c r="C15" s="6" t="s">
        <v>33</v>
      </c>
      <c r="D15" s="6" t="s">
        <v>1</v>
      </c>
      <c r="E15" s="6" t="s">
        <v>19</v>
      </c>
      <c r="F15" s="6">
        <v>40</v>
      </c>
      <c r="G15" s="6" t="s">
        <v>23</v>
      </c>
      <c r="H15" s="6">
        <v>1</v>
      </c>
      <c r="I15" s="6">
        <v>274</v>
      </c>
      <c r="J15" s="11">
        <v>274</v>
      </c>
      <c r="M15" s="6" t="str" cm="1">
        <f t="array" ref="M15">_xlfn.IFS(J15&lt;=500,"Low",J15&gt;=1500,"Mid",J15&lt;=1500,"High",TRUE,"no")</f>
        <v>Low</v>
      </c>
      <c r="N15" s="6">
        <f t="shared" si="0"/>
        <v>1</v>
      </c>
      <c r="O15" s="6" t="str">
        <f t="shared" si="1"/>
        <v>Charlie</v>
      </c>
    </row>
    <row r="16" spans="1:20" x14ac:dyDescent="0.3">
      <c r="A16" s="10">
        <v>15</v>
      </c>
      <c r="B16" s="18">
        <v>44941</v>
      </c>
      <c r="C16" s="6" t="s">
        <v>34</v>
      </c>
      <c r="D16" s="6" t="s">
        <v>1</v>
      </c>
      <c r="E16" s="6" t="s">
        <v>14</v>
      </c>
      <c r="F16" s="6">
        <v>35</v>
      </c>
      <c r="G16" s="6" t="s">
        <v>27</v>
      </c>
      <c r="H16" s="6">
        <v>2</v>
      </c>
      <c r="I16" s="6">
        <v>287</v>
      </c>
      <c r="J16" s="11">
        <v>574</v>
      </c>
      <c r="M16" s="6" t="str" cm="1">
        <f t="array" ref="M16">_xlfn.IFS(J16&lt;=500,"Low",J16&gt;=1500,"Mid",J16&lt;=1500,"High",TRUE,"no")</f>
        <v>High</v>
      </c>
      <c r="N16" s="6">
        <f t="shared" si="0"/>
        <v>1</v>
      </c>
      <c r="O16" s="6" t="str">
        <f t="shared" si="1"/>
        <v>Charlie</v>
      </c>
    </row>
    <row r="17" spans="1:15" x14ac:dyDescent="0.3">
      <c r="A17" s="10">
        <v>16</v>
      </c>
      <c r="B17" s="18">
        <v>44942</v>
      </c>
      <c r="C17" s="6" t="s">
        <v>35</v>
      </c>
      <c r="D17" s="6" t="s">
        <v>4</v>
      </c>
      <c r="E17" s="6" t="s">
        <v>14</v>
      </c>
      <c r="F17" s="6">
        <v>36</v>
      </c>
      <c r="G17" s="6" t="s">
        <v>27</v>
      </c>
      <c r="H17" s="6">
        <v>5</v>
      </c>
      <c r="I17" s="6">
        <v>205</v>
      </c>
      <c r="J17" s="11">
        <v>1025</v>
      </c>
      <c r="M17" s="6" t="str" cm="1">
        <f t="array" ref="M17">_xlfn.IFS(J17&lt;=500,"Low",J17&gt;=1500,"Mid",J17&lt;=1500,"High",TRUE,"no")</f>
        <v>High</v>
      </c>
      <c r="N17" s="6">
        <f t="shared" si="0"/>
        <v>10</v>
      </c>
      <c r="O17" s="6" t="str">
        <f t="shared" si="1"/>
        <v>Alice</v>
      </c>
    </row>
    <row r="18" spans="1:15" x14ac:dyDescent="0.3">
      <c r="A18" s="10">
        <v>17</v>
      </c>
      <c r="B18" s="18">
        <v>44943</v>
      </c>
      <c r="C18" s="6" t="s">
        <v>36</v>
      </c>
      <c r="D18" s="6" t="s">
        <v>1</v>
      </c>
      <c r="E18" s="6" t="s">
        <v>14</v>
      </c>
      <c r="F18" s="6">
        <v>29</v>
      </c>
      <c r="G18" s="6" t="s">
        <v>17</v>
      </c>
      <c r="H18" s="6">
        <v>4</v>
      </c>
      <c r="I18" s="6">
        <v>278</v>
      </c>
      <c r="J18" s="11">
        <v>1112</v>
      </c>
      <c r="M18" s="6" t="str" cm="1">
        <f t="array" ref="M18">_xlfn.IFS(J18&lt;=500,"Low",J18&gt;=1500,"Mid",J18&lt;=1500,"High",TRUE,"no")</f>
        <v>High</v>
      </c>
      <c r="N18" s="6">
        <f t="shared" si="0"/>
        <v>1</v>
      </c>
      <c r="O18" s="6" t="str">
        <f t="shared" si="1"/>
        <v>Charlie</v>
      </c>
    </row>
    <row r="19" spans="1:15" x14ac:dyDescent="0.3">
      <c r="A19" s="10">
        <v>18</v>
      </c>
      <c r="B19" s="18">
        <v>44944</v>
      </c>
      <c r="C19" s="6" t="s">
        <v>37</v>
      </c>
      <c r="D19" s="6" t="s">
        <v>1</v>
      </c>
      <c r="E19" s="6" t="s">
        <v>14</v>
      </c>
      <c r="F19" s="6">
        <v>31</v>
      </c>
      <c r="G19" s="6" t="s">
        <v>27</v>
      </c>
      <c r="H19" s="6">
        <v>3</v>
      </c>
      <c r="I19" s="6">
        <v>304</v>
      </c>
      <c r="J19" s="11">
        <v>912</v>
      </c>
      <c r="M19" s="6" t="str" cm="1">
        <f t="array" ref="M19">_xlfn.IFS(J19&lt;=500,"Low",J19&gt;=1500,"Mid",J19&lt;=1500,"High",TRUE,"no")</f>
        <v>High</v>
      </c>
      <c r="N19" s="6">
        <f t="shared" si="0"/>
        <v>1</v>
      </c>
      <c r="O19" s="6" t="str">
        <f t="shared" si="1"/>
        <v>Charlie</v>
      </c>
    </row>
    <row r="20" spans="1:15" x14ac:dyDescent="0.3">
      <c r="A20" s="10">
        <v>19</v>
      </c>
      <c r="B20" s="18">
        <v>44945</v>
      </c>
      <c r="C20" s="6" t="s">
        <v>38</v>
      </c>
      <c r="D20" s="6" t="s">
        <v>2</v>
      </c>
      <c r="E20" s="6" t="s">
        <v>19</v>
      </c>
      <c r="F20" s="6">
        <v>26</v>
      </c>
      <c r="G20" s="6" t="s">
        <v>23</v>
      </c>
      <c r="H20" s="6">
        <v>5</v>
      </c>
      <c r="I20" s="6">
        <v>44</v>
      </c>
      <c r="J20" s="11">
        <v>220</v>
      </c>
      <c r="M20" s="6" t="str" cm="1">
        <f t="array" ref="M20">_xlfn.IFS(J20&lt;=500,"Low",J20&gt;=1500,"Mid",J20&lt;=1500,"High",TRUE,"no")</f>
        <v>Low</v>
      </c>
      <c r="N20" s="6">
        <f t="shared" si="0"/>
        <v>2</v>
      </c>
      <c r="O20" s="6" t="str">
        <f t="shared" si="1"/>
        <v>Diana</v>
      </c>
    </row>
    <row r="21" spans="1:15" x14ac:dyDescent="0.3">
      <c r="A21" s="10">
        <v>20</v>
      </c>
      <c r="B21" s="18">
        <v>44946</v>
      </c>
      <c r="C21" s="6" t="s">
        <v>39</v>
      </c>
      <c r="D21" s="6" t="s">
        <v>1</v>
      </c>
      <c r="E21" s="6" t="s">
        <v>19</v>
      </c>
      <c r="F21" s="6">
        <v>23</v>
      </c>
      <c r="G21" s="6" t="s">
        <v>17</v>
      </c>
      <c r="H21" s="6">
        <v>3</v>
      </c>
      <c r="I21" s="6">
        <v>412</v>
      </c>
      <c r="J21" s="11">
        <v>1236</v>
      </c>
      <c r="M21" s="6" t="str" cm="1">
        <f t="array" ref="M21">_xlfn.IFS(J21&lt;=500,"Low",J21&gt;=1500,"Mid",J21&lt;=1500,"High",TRUE,"no")</f>
        <v>High</v>
      </c>
      <c r="N21" s="6">
        <f t="shared" si="0"/>
        <v>1</v>
      </c>
      <c r="O21" s="6" t="str">
        <f t="shared" si="1"/>
        <v>Charlie</v>
      </c>
    </row>
    <row r="22" spans="1:15" x14ac:dyDescent="0.3">
      <c r="A22" s="10">
        <v>21</v>
      </c>
      <c r="B22" s="18">
        <v>44947</v>
      </c>
      <c r="C22" s="6" t="s">
        <v>40</v>
      </c>
      <c r="D22" s="6" t="s">
        <v>3</v>
      </c>
      <c r="E22" s="6" t="s">
        <v>19</v>
      </c>
      <c r="F22" s="6">
        <v>41</v>
      </c>
      <c r="G22" s="6" t="s">
        <v>15</v>
      </c>
      <c r="H22" s="6">
        <v>4</v>
      </c>
      <c r="I22" s="6">
        <v>103</v>
      </c>
      <c r="J22" s="11">
        <v>412</v>
      </c>
      <c r="M22" s="6" t="str" cm="1">
        <f t="array" ref="M22">_xlfn.IFS(J22&lt;=500,"Low",J22&gt;=1500,"Mid",J22&lt;=1500,"High",TRUE,"no")</f>
        <v>Low</v>
      </c>
      <c r="N22" s="6">
        <f t="shared" si="0"/>
        <v>7</v>
      </c>
      <c r="O22" s="6" t="str">
        <f t="shared" si="1"/>
        <v>Bob</v>
      </c>
    </row>
    <row r="23" spans="1:15" x14ac:dyDescent="0.3">
      <c r="A23" s="10">
        <v>22</v>
      </c>
      <c r="B23" s="18">
        <v>44948</v>
      </c>
      <c r="C23" s="6" t="s">
        <v>41</v>
      </c>
      <c r="D23" s="6" t="s">
        <v>4</v>
      </c>
      <c r="E23" s="6" t="s">
        <v>19</v>
      </c>
      <c r="F23" s="6">
        <v>54</v>
      </c>
      <c r="G23" s="6" t="s">
        <v>20</v>
      </c>
      <c r="H23" s="6">
        <v>2</v>
      </c>
      <c r="I23" s="6">
        <v>55</v>
      </c>
      <c r="J23" s="11">
        <v>110</v>
      </c>
      <c r="M23" s="6" t="str" cm="1">
        <f t="array" ref="M23">_xlfn.IFS(J23&lt;=500,"Low",J23&gt;=1500,"Mid",J23&lt;=1500,"High",TRUE,"no")</f>
        <v>Low</v>
      </c>
      <c r="N23" s="6">
        <f t="shared" si="0"/>
        <v>10</v>
      </c>
      <c r="O23" s="6" t="str">
        <f t="shared" si="1"/>
        <v>Alice</v>
      </c>
    </row>
    <row r="24" spans="1:15" x14ac:dyDescent="0.3">
      <c r="A24" s="10">
        <v>23</v>
      </c>
      <c r="B24" s="18">
        <v>44949</v>
      </c>
      <c r="C24" s="6" t="s">
        <v>42</v>
      </c>
      <c r="D24" s="6" t="s">
        <v>1</v>
      </c>
      <c r="E24" s="6" t="s">
        <v>19</v>
      </c>
      <c r="F24" s="6">
        <v>24</v>
      </c>
      <c r="G24" s="6" t="s">
        <v>15</v>
      </c>
      <c r="H24" s="6">
        <v>4</v>
      </c>
      <c r="I24" s="6">
        <v>298</v>
      </c>
      <c r="J24" s="11">
        <v>1192</v>
      </c>
      <c r="M24" s="6" t="str" cm="1">
        <f t="array" ref="M24">_xlfn.IFS(J24&lt;=500,"Low",J24&gt;=1500,"Mid",J24&lt;=1500,"High",TRUE,"no")</f>
        <v>High</v>
      </c>
      <c r="N24" s="6">
        <f t="shared" si="0"/>
        <v>1</v>
      </c>
      <c r="O24" s="6" t="str">
        <f t="shared" si="1"/>
        <v>Charlie</v>
      </c>
    </row>
    <row r="25" spans="1:15" x14ac:dyDescent="0.3">
      <c r="A25" s="10">
        <v>24</v>
      </c>
      <c r="B25" s="18">
        <v>44950</v>
      </c>
      <c r="C25" s="6" t="s">
        <v>43</v>
      </c>
      <c r="D25" s="6" t="s">
        <v>4</v>
      </c>
      <c r="E25" s="6" t="s">
        <v>19</v>
      </c>
      <c r="F25" s="6">
        <v>30</v>
      </c>
      <c r="G25" s="6" t="s">
        <v>15</v>
      </c>
      <c r="H25" s="6">
        <v>1</v>
      </c>
      <c r="I25" s="6">
        <v>232</v>
      </c>
      <c r="J25" s="11">
        <v>232</v>
      </c>
      <c r="M25" s="6" t="str" cm="1">
        <f t="array" ref="M25">_xlfn.IFS(J25&lt;=500,"Low",J25&gt;=1500,"Mid",J25&lt;=1500,"High",TRUE,"no")</f>
        <v>Low</v>
      </c>
      <c r="N25" s="6">
        <f t="shared" si="0"/>
        <v>10</v>
      </c>
      <c r="O25" s="6" t="str">
        <f t="shared" si="1"/>
        <v>Alice</v>
      </c>
    </row>
    <row r="26" spans="1:15" x14ac:dyDescent="0.3">
      <c r="A26" s="10">
        <v>25</v>
      </c>
      <c r="B26" s="18">
        <v>44951</v>
      </c>
      <c r="C26" s="6" t="s">
        <v>44</v>
      </c>
      <c r="D26" s="6" t="s">
        <v>4</v>
      </c>
      <c r="E26" s="6" t="s">
        <v>14</v>
      </c>
      <c r="F26" s="6">
        <v>36</v>
      </c>
      <c r="G26" s="6" t="s">
        <v>27</v>
      </c>
      <c r="H26" s="6">
        <v>4</v>
      </c>
      <c r="I26" s="6">
        <v>400</v>
      </c>
      <c r="J26" s="11">
        <v>1600</v>
      </c>
      <c r="M26" s="6" t="str" cm="1">
        <f t="array" ref="M26">_xlfn.IFS(J26&lt;=500,"Low",J26&gt;=1500,"Mid",J26&lt;=1500,"High",TRUE,"no")</f>
        <v>Mid</v>
      </c>
      <c r="N26" s="6">
        <f t="shared" si="0"/>
        <v>10</v>
      </c>
      <c r="O26" s="6" t="str">
        <f t="shared" si="1"/>
        <v>Alice</v>
      </c>
    </row>
    <row r="27" spans="1:15" x14ac:dyDescent="0.3">
      <c r="A27" s="10">
        <v>26</v>
      </c>
      <c r="B27" s="18">
        <v>44952</v>
      </c>
      <c r="C27" s="6" t="s">
        <v>45</v>
      </c>
      <c r="D27" s="6" t="s">
        <v>4</v>
      </c>
      <c r="E27" s="6" t="s">
        <v>19</v>
      </c>
      <c r="F27" s="6">
        <v>47</v>
      </c>
      <c r="G27" s="6" t="s">
        <v>27</v>
      </c>
      <c r="H27" s="6">
        <v>3</v>
      </c>
      <c r="I27" s="6">
        <v>292</v>
      </c>
      <c r="J27" s="11">
        <v>876</v>
      </c>
      <c r="M27" s="6" t="str" cm="1">
        <f t="array" ref="M27">_xlfn.IFS(J27&lt;=500,"Low",J27&gt;=1500,"Mid",J27&lt;=1500,"High",TRUE,"no")</f>
        <v>High</v>
      </c>
      <c r="N27" s="6">
        <f t="shared" si="0"/>
        <v>10</v>
      </c>
      <c r="O27" s="6" t="str">
        <f t="shared" si="1"/>
        <v>Alice</v>
      </c>
    </row>
    <row r="28" spans="1:15" x14ac:dyDescent="0.3">
      <c r="A28" s="10">
        <v>27</v>
      </c>
      <c r="B28" s="18">
        <v>44953</v>
      </c>
      <c r="C28" s="6" t="s">
        <v>46</v>
      </c>
      <c r="D28" s="6" t="s">
        <v>1</v>
      </c>
      <c r="E28" s="6" t="s">
        <v>19</v>
      </c>
      <c r="F28" s="6">
        <v>21</v>
      </c>
      <c r="G28" s="6" t="s">
        <v>15</v>
      </c>
      <c r="H28" s="6">
        <v>3</v>
      </c>
      <c r="I28" s="6">
        <v>237</v>
      </c>
      <c r="J28" s="11">
        <v>711</v>
      </c>
      <c r="M28" s="6" t="str" cm="1">
        <f t="array" ref="M28">_xlfn.IFS(J28&lt;=500,"Low",J28&gt;=1500,"Mid",J28&lt;=1500,"High",TRUE,"no")</f>
        <v>High</v>
      </c>
      <c r="N28" s="6">
        <f t="shared" si="0"/>
        <v>1</v>
      </c>
      <c r="O28" s="6" t="str">
        <f t="shared" si="1"/>
        <v>Charlie</v>
      </c>
    </row>
    <row r="29" spans="1:15" x14ac:dyDescent="0.3">
      <c r="A29" s="10">
        <v>28</v>
      </c>
      <c r="B29" s="18">
        <v>44954</v>
      </c>
      <c r="C29" s="6" t="s">
        <v>47</v>
      </c>
      <c r="D29" s="6" t="s">
        <v>1</v>
      </c>
      <c r="E29" s="6" t="s">
        <v>14</v>
      </c>
      <c r="F29" s="6">
        <v>54</v>
      </c>
      <c r="G29" s="6" t="s">
        <v>17</v>
      </c>
      <c r="H29" s="6">
        <v>1</v>
      </c>
      <c r="I29" s="6">
        <v>208</v>
      </c>
      <c r="J29" s="11">
        <v>208</v>
      </c>
      <c r="M29" s="6" t="str" cm="1">
        <f t="array" ref="M29">_xlfn.IFS(J29&lt;=500,"Low",J29&gt;=1500,"Mid",J29&lt;=1500,"High",TRUE,"no")</f>
        <v>Low</v>
      </c>
      <c r="N29" s="6">
        <f t="shared" si="0"/>
        <v>1</v>
      </c>
      <c r="O29" s="6" t="str">
        <f t="shared" si="1"/>
        <v>Charlie</v>
      </c>
    </row>
    <row r="30" spans="1:15" x14ac:dyDescent="0.3">
      <c r="A30" s="10">
        <v>29</v>
      </c>
      <c r="B30" s="18">
        <v>44955</v>
      </c>
      <c r="C30" s="6" t="s">
        <v>48</v>
      </c>
      <c r="D30" s="6" t="s">
        <v>4</v>
      </c>
      <c r="E30" s="6" t="s">
        <v>14</v>
      </c>
      <c r="F30" s="6">
        <v>21</v>
      </c>
      <c r="G30" s="6" t="s">
        <v>23</v>
      </c>
      <c r="H30" s="6">
        <v>5</v>
      </c>
      <c r="I30" s="6">
        <v>464</v>
      </c>
      <c r="J30" s="11">
        <v>2320</v>
      </c>
      <c r="M30" s="6" t="str" cm="1">
        <f t="array" ref="M30">_xlfn.IFS(J30&lt;=500,"Low",J30&gt;=1500,"Mid",J30&lt;=1500,"High",TRUE,"no")</f>
        <v>Mid</v>
      </c>
      <c r="N30" s="6">
        <f t="shared" si="0"/>
        <v>10</v>
      </c>
      <c r="O30" s="6" t="str">
        <f t="shared" si="1"/>
        <v>Alice</v>
      </c>
    </row>
    <row r="31" spans="1:15" x14ac:dyDescent="0.3">
      <c r="A31" s="10">
        <v>30</v>
      </c>
      <c r="B31" s="18">
        <v>44956</v>
      </c>
      <c r="C31" s="6" t="s">
        <v>49</v>
      </c>
      <c r="D31" s="6" t="s">
        <v>3</v>
      </c>
      <c r="E31" s="6" t="s">
        <v>19</v>
      </c>
      <c r="F31" s="6">
        <v>35</v>
      </c>
      <c r="G31" s="6" t="s">
        <v>27</v>
      </c>
      <c r="H31" s="6">
        <v>1</v>
      </c>
      <c r="I31" s="6">
        <v>95</v>
      </c>
      <c r="J31" s="11">
        <v>95</v>
      </c>
      <c r="M31" s="6" t="str" cm="1">
        <f t="array" ref="M31">_xlfn.IFS(J31&lt;=500,"Low",J31&gt;=1500,"Mid",J31&lt;=1500,"High",TRUE,"no")</f>
        <v>Low</v>
      </c>
      <c r="N31" s="6">
        <f t="shared" si="0"/>
        <v>7</v>
      </c>
      <c r="O31" s="6" t="str">
        <f t="shared" si="1"/>
        <v>Bob</v>
      </c>
    </row>
    <row r="32" spans="1:15" x14ac:dyDescent="0.3">
      <c r="A32" s="10">
        <v>31</v>
      </c>
      <c r="B32" s="18">
        <v>44957</v>
      </c>
      <c r="C32" s="6" t="s">
        <v>50</v>
      </c>
      <c r="D32" s="6" t="s">
        <v>4</v>
      </c>
      <c r="E32" s="6" t="s">
        <v>19</v>
      </c>
      <c r="F32" s="6">
        <v>44</v>
      </c>
      <c r="G32" s="6" t="s">
        <v>20</v>
      </c>
      <c r="H32" s="6">
        <v>3</v>
      </c>
      <c r="I32" s="6">
        <v>316</v>
      </c>
      <c r="J32" s="11">
        <v>948</v>
      </c>
      <c r="M32" s="6" t="str" cm="1">
        <f t="array" ref="M32">_xlfn.IFS(J32&lt;=500,"Low",J32&gt;=1500,"Mid",J32&lt;=1500,"High",TRUE,"no")</f>
        <v>High</v>
      </c>
      <c r="N32" s="6">
        <f t="shared" si="0"/>
        <v>10</v>
      </c>
      <c r="O32" s="6" t="str">
        <f t="shared" si="1"/>
        <v>Alice</v>
      </c>
    </row>
    <row r="33" spans="1:15" x14ac:dyDescent="0.3">
      <c r="A33" s="10">
        <v>32</v>
      </c>
      <c r="B33" s="18">
        <v>44958</v>
      </c>
      <c r="C33" s="6" t="s">
        <v>51</v>
      </c>
      <c r="D33" s="6" t="s">
        <v>3</v>
      </c>
      <c r="E33" s="6" t="s">
        <v>19</v>
      </c>
      <c r="F33" s="6">
        <v>24</v>
      </c>
      <c r="G33" s="6" t="s">
        <v>17</v>
      </c>
      <c r="H33" s="6">
        <v>3</v>
      </c>
      <c r="I33" s="6">
        <v>102</v>
      </c>
      <c r="J33" s="11">
        <v>306</v>
      </c>
      <c r="M33" s="6" t="str" cm="1">
        <f t="array" ref="M33">_xlfn.IFS(J33&lt;=500,"Low",J33&gt;=1500,"Mid",J33&lt;=1500,"High",TRUE,"no")</f>
        <v>Low</v>
      </c>
      <c r="N33" s="6">
        <f t="shared" si="0"/>
        <v>7</v>
      </c>
      <c r="O33" s="6" t="str">
        <f t="shared" si="1"/>
        <v>Bob</v>
      </c>
    </row>
    <row r="34" spans="1:15" x14ac:dyDescent="0.3">
      <c r="A34" s="10">
        <v>33</v>
      </c>
      <c r="B34" s="18">
        <v>44959</v>
      </c>
      <c r="C34" s="6" t="s">
        <v>52</v>
      </c>
      <c r="D34" s="6" t="s">
        <v>4</v>
      </c>
      <c r="E34" s="6" t="s">
        <v>19</v>
      </c>
      <c r="F34" s="6">
        <v>30</v>
      </c>
      <c r="G34" s="6" t="s">
        <v>27</v>
      </c>
      <c r="H34" s="6">
        <v>3</v>
      </c>
      <c r="I34" s="6">
        <v>327</v>
      </c>
      <c r="J34" s="11">
        <v>981</v>
      </c>
      <c r="M34" s="6" t="str" cm="1">
        <f t="array" ref="M34">_xlfn.IFS(J34&lt;=500,"Low",J34&gt;=1500,"Mid",J34&lt;=1500,"High",TRUE,"no")</f>
        <v>High</v>
      </c>
      <c r="N34" s="6">
        <f t="shared" si="0"/>
        <v>10</v>
      </c>
      <c r="O34" s="6" t="str">
        <f t="shared" si="1"/>
        <v>Alice</v>
      </c>
    </row>
    <row r="35" spans="1:15" x14ac:dyDescent="0.3">
      <c r="A35" s="10">
        <v>34</v>
      </c>
      <c r="B35" s="18">
        <v>44960</v>
      </c>
      <c r="C35" s="6" t="s">
        <v>53</v>
      </c>
      <c r="D35" s="6" t="s">
        <v>2</v>
      </c>
      <c r="E35" s="6" t="s">
        <v>19</v>
      </c>
      <c r="F35" s="6">
        <v>34</v>
      </c>
      <c r="G35" s="6" t="s">
        <v>17</v>
      </c>
      <c r="H35" s="6">
        <v>4</v>
      </c>
      <c r="I35" s="6">
        <v>267</v>
      </c>
      <c r="J35" s="11">
        <v>1068</v>
      </c>
      <c r="M35" s="6" t="str" cm="1">
        <f t="array" ref="M35">_xlfn.IFS(J35&lt;=500,"Low",J35&gt;=1500,"Mid",J35&lt;=1500,"High",TRUE,"no")</f>
        <v>High</v>
      </c>
      <c r="N35" s="6">
        <f t="shared" si="0"/>
        <v>2</v>
      </c>
      <c r="O35" s="6" t="str">
        <f t="shared" si="1"/>
        <v>Diana</v>
      </c>
    </row>
    <row r="36" spans="1:15" x14ac:dyDescent="0.3">
      <c r="A36" s="10">
        <v>35</v>
      </c>
      <c r="B36" s="18">
        <v>44961</v>
      </c>
      <c r="C36" s="6" t="s">
        <v>54</v>
      </c>
      <c r="D36" s="6" t="s">
        <v>4</v>
      </c>
      <c r="E36" s="6" t="s">
        <v>19</v>
      </c>
      <c r="F36" s="6">
        <v>60</v>
      </c>
      <c r="G36" s="6" t="s">
        <v>20</v>
      </c>
      <c r="H36" s="6">
        <v>2</v>
      </c>
      <c r="I36" s="6">
        <v>380</v>
      </c>
      <c r="J36" s="11">
        <v>760</v>
      </c>
      <c r="M36" s="6" t="str" cm="1">
        <f t="array" ref="M36">_xlfn.IFS(J36&lt;=500,"Low",J36&gt;=1500,"Mid",J36&lt;=1500,"High",TRUE,"no")</f>
        <v>High</v>
      </c>
      <c r="N36" s="6">
        <f t="shared" si="0"/>
        <v>10</v>
      </c>
      <c r="O36" s="6" t="str">
        <f t="shared" si="1"/>
        <v>Alice</v>
      </c>
    </row>
    <row r="37" spans="1:15" x14ac:dyDescent="0.3">
      <c r="A37" s="10">
        <v>36</v>
      </c>
      <c r="B37" s="18">
        <v>44962</v>
      </c>
      <c r="C37" s="6" t="s">
        <v>55</v>
      </c>
      <c r="D37" s="6" t="s">
        <v>4</v>
      </c>
      <c r="E37" s="6" t="s">
        <v>19</v>
      </c>
      <c r="F37" s="6">
        <v>31</v>
      </c>
      <c r="G37" s="6" t="s">
        <v>20</v>
      </c>
      <c r="H37" s="6">
        <v>4</v>
      </c>
      <c r="I37" s="6">
        <v>347</v>
      </c>
      <c r="J37" s="11">
        <v>1388</v>
      </c>
      <c r="M37" s="6" t="str" cm="1">
        <f t="array" ref="M37">_xlfn.IFS(J37&lt;=500,"Low",J37&gt;=1500,"Mid",J37&lt;=1500,"High",TRUE,"no")</f>
        <v>High</v>
      </c>
      <c r="N37" s="6">
        <f t="shared" si="0"/>
        <v>10</v>
      </c>
      <c r="O37" s="6" t="str">
        <f t="shared" si="1"/>
        <v>Alice</v>
      </c>
    </row>
    <row r="38" spans="1:15" x14ac:dyDescent="0.3">
      <c r="A38" s="10">
        <v>37</v>
      </c>
      <c r="B38" s="18">
        <v>44963</v>
      </c>
      <c r="C38" s="6" t="s">
        <v>56</v>
      </c>
      <c r="D38" s="6" t="s">
        <v>1</v>
      </c>
      <c r="E38" s="6" t="s">
        <v>14</v>
      </c>
      <c r="F38" s="6">
        <v>37</v>
      </c>
      <c r="G38" s="6" t="s">
        <v>23</v>
      </c>
      <c r="H38" s="6">
        <v>1</v>
      </c>
      <c r="I38" s="6">
        <v>196</v>
      </c>
      <c r="J38" s="11">
        <v>196</v>
      </c>
      <c r="M38" s="6" t="str" cm="1">
        <f t="array" ref="M38">_xlfn.IFS(J38&lt;=500,"Low",J38&gt;=1500,"Mid",J38&lt;=1500,"High",TRUE,"no")</f>
        <v>Low</v>
      </c>
      <c r="N38" s="6">
        <f t="shared" si="0"/>
        <v>1</v>
      </c>
      <c r="O38" s="6" t="str">
        <f t="shared" si="1"/>
        <v>Charlie</v>
      </c>
    </row>
    <row r="39" spans="1:15" x14ac:dyDescent="0.3">
      <c r="A39" s="10">
        <v>38</v>
      </c>
      <c r="B39" s="18">
        <v>44964</v>
      </c>
      <c r="C39" s="6" t="s">
        <v>57</v>
      </c>
      <c r="D39" s="6" t="s">
        <v>3</v>
      </c>
      <c r="E39" s="6" t="s">
        <v>19</v>
      </c>
      <c r="F39" s="6">
        <v>24</v>
      </c>
      <c r="G39" s="6" t="s">
        <v>23</v>
      </c>
      <c r="H39" s="6">
        <v>2</v>
      </c>
      <c r="I39" s="6">
        <v>276</v>
      </c>
      <c r="J39" s="11">
        <v>552</v>
      </c>
      <c r="M39" s="6" t="str" cm="1">
        <f t="array" ref="M39">_xlfn.IFS(J39&lt;=500,"Low",J39&gt;=1500,"Mid",J39&lt;=1500,"High",TRUE,"no")</f>
        <v>High</v>
      </c>
      <c r="N39" s="6">
        <f t="shared" si="0"/>
        <v>7</v>
      </c>
      <c r="O39" s="6" t="str">
        <f t="shared" si="1"/>
        <v>Bob</v>
      </c>
    </row>
    <row r="40" spans="1:15" x14ac:dyDescent="0.3">
      <c r="A40" s="10">
        <v>39</v>
      </c>
      <c r="B40" s="18">
        <v>44965</v>
      </c>
      <c r="C40" s="6" t="s">
        <v>58</v>
      </c>
      <c r="D40" s="6" t="s">
        <v>2</v>
      </c>
      <c r="E40" s="6" t="s">
        <v>19</v>
      </c>
      <c r="F40" s="6">
        <v>33</v>
      </c>
      <c r="G40" s="6" t="s">
        <v>27</v>
      </c>
      <c r="H40" s="6">
        <v>3</v>
      </c>
      <c r="I40" s="6">
        <v>481</v>
      </c>
      <c r="J40" s="11">
        <v>1443</v>
      </c>
      <c r="M40" s="6" t="str" cm="1">
        <f t="array" ref="M40">_xlfn.IFS(J40&lt;=500,"Low",J40&gt;=1500,"Mid",J40&lt;=1500,"High",TRUE,"no")</f>
        <v>High</v>
      </c>
      <c r="N40" s="6">
        <f t="shared" si="0"/>
        <v>2</v>
      </c>
      <c r="O40" s="6" t="str">
        <f t="shared" si="1"/>
        <v>Diana</v>
      </c>
    </row>
    <row r="41" spans="1:15" x14ac:dyDescent="0.3">
      <c r="A41" s="10">
        <v>40</v>
      </c>
      <c r="B41" s="18">
        <v>44966</v>
      </c>
      <c r="C41" s="6" t="s">
        <v>59</v>
      </c>
      <c r="D41" s="6" t="s">
        <v>3</v>
      </c>
      <c r="E41" s="6" t="s">
        <v>14</v>
      </c>
      <c r="F41" s="6">
        <v>18</v>
      </c>
      <c r="G41" s="6" t="s">
        <v>20</v>
      </c>
      <c r="H41" s="6">
        <v>5</v>
      </c>
      <c r="I41" s="6">
        <v>330</v>
      </c>
      <c r="J41" s="11">
        <v>1650</v>
      </c>
      <c r="M41" s="6" t="str" cm="1">
        <f t="array" ref="M41">_xlfn.IFS(J41&lt;=500,"Low",J41&gt;=1500,"Mid",J41&lt;=1500,"High",TRUE,"no")</f>
        <v>Mid</v>
      </c>
      <c r="N41" s="6">
        <f t="shared" si="0"/>
        <v>7</v>
      </c>
      <c r="O41" s="6" t="str">
        <f t="shared" si="1"/>
        <v>Bob</v>
      </c>
    </row>
    <row r="42" spans="1:15" x14ac:dyDescent="0.3">
      <c r="A42" s="10">
        <v>41</v>
      </c>
      <c r="B42" s="18">
        <v>44967</v>
      </c>
      <c r="C42" s="6" t="s">
        <v>60</v>
      </c>
      <c r="D42" s="6" t="s">
        <v>2</v>
      </c>
      <c r="E42" s="6" t="s">
        <v>14</v>
      </c>
      <c r="F42" s="6">
        <v>41</v>
      </c>
      <c r="G42" s="6" t="s">
        <v>17</v>
      </c>
      <c r="H42" s="6">
        <v>5</v>
      </c>
      <c r="I42" s="6">
        <v>341</v>
      </c>
      <c r="J42" s="11">
        <v>1705</v>
      </c>
      <c r="M42" s="6" t="str" cm="1">
        <f t="array" ref="M42">_xlfn.IFS(J42&lt;=500,"Low",J42&gt;=1500,"Mid",J42&lt;=1500,"High",TRUE,"no")</f>
        <v>Mid</v>
      </c>
      <c r="N42" s="6">
        <f t="shared" si="0"/>
        <v>2</v>
      </c>
      <c r="O42" s="6" t="str">
        <f t="shared" si="1"/>
        <v>Diana</v>
      </c>
    </row>
    <row r="43" spans="1:15" x14ac:dyDescent="0.3">
      <c r="A43" s="10">
        <v>42</v>
      </c>
      <c r="B43" s="18">
        <v>44968</v>
      </c>
      <c r="C43" s="6" t="s">
        <v>61</v>
      </c>
      <c r="D43" s="6" t="s">
        <v>4</v>
      </c>
      <c r="E43" s="6" t="s">
        <v>19</v>
      </c>
      <c r="F43" s="6">
        <v>44</v>
      </c>
      <c r="G43" s="6" t="s">
        <v>27</v>
      </c>
      <c r="H43" s="6">
        <v>4</v>
      </c>
      <c r="I43" s="6">
        <v>27</v>
      </c>
      <c r="J43" s="11">
        <v>108</v>
      </c>
      <c r="M43" s="6" t="str" cm="1">
        <f t="array" ref="M43">_xlfn.IFS(J43&lt;=500,"Low",J43&gt;=1500,"Mid",J43&lt;=1500,"High",TRUE,"no")</f>
        <v>Low</v>
      </c>
      <c r="N43" s="6">
        <f t="shared" si="0"/>
        <v>10</v>
      </c>
      <c r="O43" s="6" t="str">
        <f t="shared" si="1"/>
        <v>Alice</v>
      </c>
    </row>
    <row r="44" spans="1:15" x14ac:dyDescent="0.3">
      <c r="A44" s="10">
        <v>43</v>
      </c>
      <c r="B44" s="18">
        <v>44969</v>
      </c>
      <c r="C44" s="6" t="s">
        <v>62</v>
      </c>
      <c r="D44" s="6" t="s">
        <v>1</v>
      </c>
      <c r="E44" s="6" t="s">
        <v>14</v>
      </c>
      <c r="F44" s="6">
        <v>24</v>
      </c>
      <c r="G44" s="6" t="s">
        <v>15</v>
      </c>
      <c r="H44" s="6">
        <v>1</v>
      </c>
      <c r="I44" s="6">
        <v>472</v>
      </c>
      <c r="J44" s="11">
        <v>472</v>
      </c>
      <c r="M44" s="6" t="str" cm="1">
        <f t="array" ref="M44">_xlfn.IFS(J44&lt;=500,"Low",J44&gt;=1500,"Mid",J44&lt;=1500,"High",TRUE,"no")</f>
        <v>Low</v>
      </c>
      <c r="N44" s="6">
        <f t="shared" si="0"/>
        <v>1</v>
      </c>
      <c r="O44" s="6" t="str">
        <f t="shared" si="1"/>
        <v>Charlie</v>
      </c>
    </row>
    <row r="45" spans="1:15" x14ac:dyDescent="0.3">
      <c r="A45" s="10">
        <v>44</v>
      </c>
      <c r="B45" s="18">
        <v>44970</v>
      </c>
      <c r="C45" s="6" t="s">
        <v>63</v>
      </c>
      <c r="D45" s="6" t="s">
        <v>1</v>
      </c>
      <c r="E45" s="6" t="s">
        <v>19</v>
      </c>
      <c r="F45" s="6">
        <v>50</v>
      </c>
      <c r="G45" s="6" t="s">
        <v>17</v>
      </c>
      <c r="H45" s="6">
        <v>3</v>
      </c>
      <c r="I45" s="6">
        <v>207</v>
      </c>
      <c r="J45" s="11">
        <v>621</v>
      </c>
      <c r="M45" s="6" t="str" cm="1">
        <f t="array" ref="M45">_xlfn.IFS(J45&lt;=500,"Low",J45&gt;=1500,"Mid",J45&lt;=1500,"High",TRUE,"no")</f>
        <v>High</v>
      </c>
      <c r="N45" s="6">
        <f t="shared" si="0"/>
        <v>1</v>
      </c>
      <c r="O45" s="6" t="str">
        <f t="shared" si="1"/>
        <v>Charlie</v>
      </c>
    </row>
    <row r="46" spans="1:15" x14ac:dyDescent="0.3">
      <c r="A46" s="10">
        <v>45</v>
      </c>
      <c r="B46" s="18">
        <v>44971</v>
      </c>
      <c r="C46" s="6" t="s">
        <v>64</v>
      </c>
      <c r="D46" s="6" t="s">
        <v>3</v>
      </c>
      <c r="E46" s="6" t="s">
        <v>14</v>
      </c>
      <c r="F46" s="6">
        <v>40</v>
      </c>
      <c r="G46" s="6" t="s">
        <v>20</v>
      </c>
      <c r="H46" s="6">
        <v>4</v>
      </c>
      <c r="I46" s="6">
        <v>148</v>
      </c>
      <c r="J46" s="11">
        <v>592</v>
      </c>
      <c r="M46" s="6" t="str" cm="1">
        <f t="array" ref="M46">_xlfn.IFS(J46&lt;=500,"Low",J46&gt;=1500,"Mid",J46&lt;=1500,"High",TRUE,"no")</f>
        <v>High</v>
      </c>
      <c r="N46" s="6">
        <f t="shared" si="0"/>
        <v>7</v>
      </c>
      <c r="O46" s="6" t="str">
        <f t="shared" si="1"/>
        <v>Bob</v>
      </c>
    </row>
    <row r="47" spans="1:15" x14ac:dyDescent="0.3">
      <c r="A47" s="10">
        <v>46</v>
      </c>
      <c r="B47" s="18">
        <v>44972</v>
      </c>
      <c r="C47" s="6" t="s">
        <v>65</v>
      </c>
      <c r="D47" s="6" t="s">
        <v>1</v>
      </c>
      <c r="E47" s="6" t="s">
        <v>14</v>
      </c>
      <c r="F47" s="6">
        <v>36</v>
      </c>
      <c r="G47" s="6" t="s">
        <v>23</v>
      </c>
      <c r="H47" s="6">
        <v>4</v>
      </c>
      <c r="I47" s="6">
        <v>429</v>
      </c>
      <c r="J47" s="11">
        <v>1716</v>
      </c>
      <c r="M47" s="6" t="str" cm="1">
        <f t="array" ref="M47">_xlfn.IFS(J47&lt;=500,"Low",J47&gt;=1500,"Mid",J47&lt;=1500,"High",TRUE,"no")</f>
        <v>Mid</v>
      </c>
      <c r="N47" s="6">
        <f t="shared" si="0"/>
        <v>1</v>
      </c>
      <c r="O47" s="6" t="str">
        <f t="shared" si="1"/>
        <v>Charlie</v>
      </c>
    </row>
    <row r="48" spans="1:15" x14ac:dyDescent="0.3">
      <c r="A48" s="10">
        <v>47</v>
      </c>
      <c r="B48" s="18">
        <v>44973</v>
      </c>
      <c r="C48" s="6" t="s">
        <v>66</v>
      </c>
      <c r="D48" s="6" t="s">
        <v>3</v>
      </c>
      <c r="E48" s="6" t="s">
        <v>14</v>
      </c>
      <c r="F48" s="6">
        <v>22</v>
      </c>
      <c r="G48" s="6" t="s">
        <v>27</v>
      </c>
      <c r="H48" s="6">
        <v>4</v>
      </c>
      <c r="I48" s="6">
        <v>121</v>
      </c>
      <c r="J48" s="11">
        <v>484</v>
      </c>
      <c r="M48" s="6" t="str" cm="1">
        <f t="array" ref="M48">_xlfn.IFS(J48&lt;=500,"Low",J48&gt;=1500,"Mid",J48&lt;=1500,"High",TRUE,"no")</f>
        <v>Low</v>
      </c>
      <c r="N48" s="6">
        <f t="shared" si="0"/>
        <v>7</v>
      </c>
      <c r="O48" s="6" t="str">
        <f t="shared" si="1"/>
        <v>Bob</v>
      </c>
    </row>
    <row r="49" spans="1:15" x14ac:dyDescent="0.3">
      <c r="A49" s="10">
        <v>48</v>
      </c>
      <c r="B49" s="18">
        <v>44974</v>
      </c>
      <c r="C49" s="6" t="s">
        <v>67</v>
      </c>
      <c r="D49" s="6" t="s">
        <v>3</v>
      </c>
      <c r="E49" s="6" t="s">
        <v>19</v>
      </c>
      <c r="F49" s="6">
        <v>40</v>
      </c>
      <c r="G49" s="6" t="s">
        <v>15</v>
      </c>
      <c r="H49" s="6">
        <v>3</v>
      </c>
      <c r="I49" s="6">
        <v>143</v>
      </c>
      <c r="J49" s="11">
        <v>429</v>
      </c>
      <c r="M49" s="6" t="str" cm="1">
        <f t="array" ref="M49">_xlfn.IFS(J49&lt;=500,"Low",J49&gt;=1500,"Mid",J49&lt;=1500,"High",TRUE,"no")</f>
        <v>Low</v>
      </c>
      <c r="N49" s="6">
        <f t="shared" si="0"/>
        <v>7</v>
      </c>
      <c r="O49" s="6" t="str">
        <f t="shared" si="1"/>
        <v>Bob</v>
      </c>
    </row>
    <row r="50" spans="1:15" x14ac:dyDescent="0.3">
      <c r="A50" s="10">
        <v>49</v>
      </c>
      <c r="B50" s="18">
        <v>44975</v>
      </c>
      <c r="C50" s="6" t="s">
        <v>68</v>
      </c>
      <c r="D50" s="6" t="s">
        <v>2</v>
      </c>
      <c r="E50" s="6" t="s">
        <v>14</v>
      </c>
      <c r="F50" s="6">
        <v>27</v>
      </c>
      <c r="G50" s="6" t="s">
        <v>17</v>
      </c>
      <c r="H50" s="6">
        <v>2</v>
      </c>
      <c r="I50" s="6">
        <v>282</v>
      </c>
      <c r="J50" s="11">
        <v>564</v>
      </c>
      <c r="M50" s="6" t="str" cm="1">
        <f t="array" ref="M50">_xlfn.IFS(J50&lt;=500,"Low",J50&gt;=1500,"Mid",J50&lt;=1500,"High",TRUE,"no")</f>
        <v>High</v>
      </c>
      <c r="N50" s="6">
        <f t="shared" si="0"/>
        <v>2</v>
      </c>
      <c r="O50" s="6" t="str">
        <f t="shared" si="1"/>
        <v>Diana</v>
      </c>
    </row>
    <row r="51" spans="1:15" x14ac:dyDescent="0.3">
      <c r="A51" s="10">
        <v>50</v>
      </c>
      <c r="B51" s="18">
        <v>44976</v>
      </c>
      <c r="C51" s="6" t="s">
        <v>69</v>
      </c>
      <c r="D51" s="6" t="s">
        <v>3</v>
      </c>
      <c r="E51" s="6" t="s">
        <v>19</v>
      </c>
      <c r="F51" s="6">
        <v>18</v>
      </c>
      <c r="G51" s="6" t="s">
        <v>15</v>
      </c>
      <c r="H51" s="6">
        <v>3</v>
      </c>
      <c r="I51" s="6">
        <v>327</v>
      </c>
      <c r="J51" s="11">
        <v>981</v>
      </c>
      <c r="M51" s="6" t="str" cm="1">
        <f t="array" ref="M51">_xlfn.IFS(J51&lt;=500,"Low",J51&gt;=1500,"Mid",J51&lt;=1500,"High",TRUE,"no")</f>
        <v>High</v>
      </c>
      <c r="N51" s="6">
        <f t="shared" si="0"/>
        <v>7</v>
      </c>
      <c r="O51" s="6" t="str">
        <f t="shared" si="1"/>
        <v>Bob</v>
      </c>
    </row>
    <row r="52" spans="1:15" x14ac:dyDescent="0.3">
      <c r="A52" s="10">
        <v>51</v>
      </c>
      <c r="B52" s="18">
        <v>44977</v>
      </c>
      <c r="C52" s="6" t="s">
        <v>70</v>
      </c>
      <c r="D52" s="6" t="s">
        <v>2</v>
      </c>
      <c r="E52" s="6" t="s">
        <v>14</v>
      </c>
      <c r="F52" s="6">
        <v>34</v>
      </c>
      <c r="G52" s="6" t="s">
        <v>15</v>
      </c>
      <c r="H52" s="6">
        <v>1</v>
      </c>
      <c r="I52" s="6">
        <v>351</v>
      </c>
      <c r="J52" s="11">
        <v>351</v>
      </c>
      <c r="M52" s="6" t="str" cm="1">
        <f t="array" ref="M52">_xlfn.IFS(J52&lt;=500,"Low",J52&gt;=1500,"Mid",J52&lt;=1500,"High",TRUE,"no")</f>
        <v>Low</v>
      </c>
      <c r="N52" s="6">
        <f t="shared" si="0"/>
        <v>2</v>
      </c>
      <c r="O52" s="6" t="str">
        <f t="shared" si="1"/>
        <v>Diana</v>
      </c>
    </row>
    <row r="53" spans="1:15" x14ac:dyDescent="0.3">
      <c r="A53" s="10">
        <v>52</v>
      </c>
      <c r="B53" s="18">
        <v>44978</v>
      </c>
      <c r="C53" s="6" t="s">
        <v>71</v>
      </c>
      <c r="D53" s="6" t="s">
        <v>1</v>
      </c>
      <c r="E53" s="6" t="s">
        <v>19</v>
      </c>
      <c r="F53" s="6">
        <v>60</v>
      </c>
      <c r="G53" s="6" t="s">
        <v>23</v>
      </c>
      <c r="H53" s="6">
        <v>3</v>
      </c>
      <c r="I53" s="6">
        <v>35</v>
      </c>
      <c r="J53" s="11">
        <v>105</v>
      </c>
      <c r="M53" s="6" t="str" cm="1">
        <f t="array" ref="M53">_xlfn.IFS(J53&lt;=500,"Low",J53&gt;=1500,"Mid",J53&lt;=1500,"High",TRUE,"no")</f>
        <v>Low</v>
      </c>
      <c r="N53" s="6">
        <f t="shared" si="0"/>
        <v>1</v>
      </c>
      <c r="O53" s="6" t="str">
        <f t="shared" si="1"/>
        <v>Charlie</v>
      </c>
    </row>
    <row r="54" spans="1:15" x14ac:dyDescent="0.3">
      <c r="A54" s="10">
        <v>53</v>
      </c>
      <c r="B54" s="18">
        <v>44979</v>
      </c>
      <c r="C54" s="6" t="s">
        <v>72</v>
      </c>
      <c r="D54" s="6" t="s">
        <v>3</v>
      </c>
      <c r="E54" s="6" t="s">
        <v>19</v>
      </c>
      <c r="F54" s="6">
        <v>19</v>
      </c>
      <c r="G54" s="6" t="s">
        <v>17</v>
      </c>
      <c r="H54" s="6">
        <v>4</v>
      </c>
      <c r="I54" s="6">
        <v>269</v>
      </c>
      <c r="J54" s="11">
        <v>1076</v>
      </c>
      <c r="M54" s="6" t="str" cm="1">
        <f t="array" ref="M54">_xlfn.IFS(J54&lt;=500,"Low",J54&gt;=1500,"Mid",J54&lt;=1500,"High",TRUE,"no")</f>
        <v>High</v>
      </c>
      <c r="N54" s="6">
        <f t="shared" si="0"/>
        <v>7</v>
      </c>
      <c r="O54" s="6" t="str">
        <f t="shared" si="1"/>
        <v>Bob</v>
      </c>
    </row>
    <row r="55" spans="1:15" x14ac:dyDescent="0.3">
      <c r="A55" s="10">
        <v>54</v>
      </c>
      <c r="B55" s="18">
        <v>44980</v>
      </c>
      <c r="C55" s="6" t="s">
        <v>73</v>
      </c>
      <c r="D55" s="6" t="s">
        <v>3</v>
      </c>
      <c r="E55" s="6" t="s">
        <v>14</v>
      </c>
      <c r="F55" s="6">
        <v>55</v>
      </c>
      <c r="G55" s="6" t="s">
        <v>23</v>
      </c>
      <c r="H55" s="6">
        <v>2</v>
      </c>
      <c r="I55" s="6">
        <v>85</v>
      </c>
      <c r="J55" s="11">
        <v>170</v>
      </c>
      <c r="M55" s="6" t="str" cm="1">
        <f t="array" ref="M55">_xlfn.IFS(J55&lt;=500,"Low",J55&gt;=1500,"Mid",J55&lt;=1500,"High",TRUE,"no")</f>
        <v>Low</v>
      </c>
      <c r="N55" s="6">
        <f t="shared" si="0"/>
        <v>7</v>
      </c>
      <c r="O55" s="6" t="str">
        <f t="shared" si="1"/>
        <v>Bob</v>
      </c>
    </row>
    <row r="56" spans="1:15" x14ac:dyDescent="0.3">
      <c r="A56" s="10">
        <v>55</v>
      </c>
      <c r="B56" s="18">
        <v>44981</v>
      </c>
      <c r="C56" s="6" t="s">
        <v>74</v>
      </c>
      <c r="D56" s="6" t="s">
        <v>4</v>
      </c>
      <c r="E56" s="6" t="s">
        <v>14</v>
      </c>
      <c r="F56" s="6">
        <v>45</v>
      </c>
      <c r="G56" s="6" t="s">
        <v>17</v>
      </c>
      <c r="H56" s="6">
        <v>3</v>
      </c>
      <c r="I56" s="6">
        <v>359</v>
      </c>
      <c r="J56" s="11">
        <v>1077</v>
      </c>
      <c r="M56" s="6" t="str" cm="1">
        <f t="array" ref="M56">_xlfn.IFS(J56&lt;=500,"Low",J56&gt;=1500,"Mid",J56&lt;=1500,"High",TRUE,"no")</f>
        <v>High</v>
      </c>
      <c r="N56" s="6">
        <f t="shared" si="0"/>
        <v>10</v>
      </c>
      <c r="O56" s="6" t="str">
        <f t="shared" si="1"/>
        <v>Alice</v>
      </c>
    </row>
    <row r="57" spans="1:15" x14ac:dyDescent="0.3">
      <c r="A57" s="10">
        <v>56</v>
      </c>
      <c r="B57" s="18">
        <v>44982</v>
      </c>
      <c r="C57" s="6" t="s">
        <v>75</v>
      </c>
      <c r="D57" s="6" t="s">
        <v>3</v>
      </c>
      <c r="E57" s="6" t="s">
        <v>19</v>
      </c>
      <c r="F57" s="6">
        <v>23</v>
      </c>
      <c r="G57" s="6" t="s">
        <v>15</v>
      </c>
      <c r="H57" s="6">
        <v>1</v>
      </c>
      <c r="I57" s="6">
        <v>459</v>
      </c>
      <c r="J57" s="11">
        <v>459</v>
      </c>
      <c r="M57" s="6" t="str" cm="1">
        <f t="array" ref="M57">_xlfn.IFS(J57&lt;=500,"Low",J57&gt;=1500,"Mid",J57&lt;=1500,"High",TRUE,"no")</f>
        <v>Low</v>
      </c>
      <c r="N57" s="6">
        <f t="shared" si="0"/>
        <v>7</v>
      </c>
      <c r="O57" s="6" t="str">
        <f t="shared" si="1"/>
        <v>Bob</v>
      </c>
    </row>
    <row r="58" spans="1:15" x14ac:dyDescent="0.3">
      <c r="A58" s="10">
        <v>57</v>
      </c>
      <c r="B58" s="18">
        <v>44983</v>
      </c>
      <c r="C58" s="6" t="s">
        <v>76</v>
      </c>
      <c r="D58" s="6" t="s">
        <v>3</v>
      </c>
      <c r="E58" s="6" t="s">
        <v>14</v>
      </c>
      <c r="F58" s="6">
        <v>45</v>
      </c>
      <c r="G58" s="6" t="s">
        <v>27</v>
      </c>
      <c r="H58" s="6">
        <v>4</v>
      </c>
      <c r="I58" s="6">
        <v>257</v>
      </c>
      <c r="J58" s="11">
        <v>1028</v>
      </c>
      <c r="M58" s="6" t="str" cm="1">
        <f t="array" ref="M58">_xlfn.IFS(J58&lt;=500,"Low",J58&gt;=1500,"Mid",J58&lt;=1500,"High",TRUE,"no")</f>
        <v>High</v>
      </c>
      <c r="N58" s="6">
        <f t="shared" si="0"/>
        <v>7</v>
      </c>
      <c r="O58" s="6" t="str">
        <f t="shared" si="1"/>
        <v>Bob</v>
      </c>
    </row>
    <row r="59" spans="1:15" x14ac:dyDescent="0.3">
      <c r="A59" s="10">
        <v>58</v>
      </c>
      <c r="B59" s="18">
        <v>44984</v>
      </c>
      <c r="C59" s="6" t="s">
        <v>77</v>
      </c>
      <c r="D59" s="6" t="s">
        <v>4</v>
      </c>
      <c r="E59" s="6" t="s">
        <v>14</v>
      </c>
      <c r="F59" s="6">
        <v>40</v>
      </c>
      <c r="G59" s="6" t="s">
        <v>27</v>
      </c>
      <c r="H59" s="6">
        <v>3</v>
      </c>
      <c r="I59" s="6">
        <v>258</v>
      </c>
      <c r="J59" s="11">
        <v>774</v>
      </c>
      <c r="M59" s="6" t="str" cm="1">
        <f t="array" ref="M59">_xlfn.IFS(J59&lt;=500,"Low",J59&gt;=1500,"Mid",J59&lt;=1500,"High",TRUE,"no")</f>
        <v>High</v>
      </c>
      <c r="N59" s="6">
        <f t="shared" si="0"/>
        <v>10</v>
      </c>
      <c r="O59" s="6" t="str">
        <f t="shared" si="1"/>
        <v>Alice</v>
      </c>
    </row>
    <row r="60" spans="1:15" x14ac:dyDescent="0.3">
      <c r="A60" s="10">
        <v>59</v>
      </c>
      <c r="B60" s="18">
        <v>44985</v>
      </c>
      <c r="C60" s="6" t="s">
        <v>78</v>
      </c>
      <c r="D60" s="6" t="s">
        <v>4</v>
      </c>
      <c r="E60" s="6" t="s">
        <v>19</v>
      </c>
      <c r="F60" s="6">
        <v>23</v>
      </c>
      <c r="G60" s="6" t="s">
        <v>17</v>
      </c>
      <c r="H60" s="6">
        <v>4</v>
      </c>
      <c r="I60" s="6">
        <v>416</v>
      </c>
      <c r="J60" s="11">
        <v>1664</v>
      </c>
      <c r="M60" s="6" t="str" cm="1">
        <f t="array" ref="M60">_xlfn.IFS(J60&lt;=500,"Low",J60&gt;=1500,"Mid",J60&lt;=1500,"High",TRUE,"no")</f>
        <v>Mid</v>
      </c>
      <c r="N60" s="6">
        <f t="shared" si="0"/>
        <v>10</v>
      </c>
      <c r="O60" s="6" t="str">
        <f t="shared" si="1"/>
        <v>Alice</v>
      </c>
    </row>
    <row r="61" spans="1:15" x14ac:dyDescent="0.3">
      <c r="A61" s="10">
        <v>60</v>
      </c>
      <c r="B61" s="18">
        <v>44986</v>
      </c>
      <c r="C61" s="6" t="s">
        <v>79</v>
      </c>
      <c r="D61" s="6" t="s">
        <v>1</v>
      </c>
      <c r="E61" s="6" t="s">
        <v>19</v>
      </c>
      <c r="F61" s="6">
        <v>29</v>
      </c>
      <c r="G61" s="6" t="s">
        <v>15</v>
      </c>
      <c r="H61" s="6">
        <v>5</v>
      </c>
      <c r="I61" s="6">
        <v>404</v>
      </c>
      <c r="J61" s="11">
        <v>2020</v>
      </c>
      <c r="M61" s="6" t="str" cm="1">
        <f t="array" ref="M61">_xlfn.IFS(J61&lt;=500,"Low",J61&gt;=1500,"Mid",J61&lt;=1500,"High",TRUE,"no")</f>
        <v>Mid</v>
      </c>
      <c r="N61" s="6">
        <f t="shared" si="0"/>
        <v>1</v>
      </c>
      <c r="O61" s="6" t="str">
        <f t="shared" si="1"/>
        <v>Charlie</v>
      </c>
    </row>
    <row r="62" spans="1:15" x14ac:dyDescent="0.3">
      <c r="A62" s="10">
        <v>61</v>
      </c>
      <c r="B62" s="18">
        <v>44987</v>
      </c>
      <c r="C62" s="6" t="s">
        <v>80</v>
      </c>
      <c r="D62" s="6" t="s">
        <v>3</v>
      </c>
      <c r="E62" s="6" t="s">
        <v>19</v>
      </c>
      <c r="F62" s="6">
        <v>56</v>
      </c>
      <c r="G62" s="6" t="s">
        <v>17</v>
      </c>
      <c r="H62" s="6">
        <v>4</v>
      </c>
      <c r="I62" s="6">
        <v>242</v>
      </c>
      <c r="J62" s="11">
        <v>968</v>
      </c>
      <c r="M62" s="6" t="str" cm="1">
        <f t="array" ref="M62">_xlfn.IFS(J62&lt;=500,"Low",J62&gt;=1500,"Mid",J62&lt;=1500,"High",TRUE,"no")</f>
        <v>High</v>
      </c>
      <c r="N62" s="6">
        <f t="shared" si="0"/>
        <v>7</v>
      </c>
      <c r="O62" s="6" t="str">
        <f t="shared" si="1"/>
        <v>Bob</v>
      </c>
    </row>
    <row r="63" spans="1:15" x14ac:dyDescent="0.3">
      <c r="A63" s="10">
        <v>62</v>
      </c>
      <c r="B63" s="18">
        <v>44988</v>
      </c>
      <c r="C63" s="6" t="s">
        <v>81</v>
      </c>
      <c r="D63" s="6" t="s">
        <v>1</v>
      </c>
      <c r="E63" s="6" t="s">
        <v>19</v>
      </c>
      <c r="F63" s="6">
        <v>21</v>
      </c>
      <c r="G63" s="6" t="s">
        <v>27</v>
      </c>
      <c r="H63" s="6">
        <v>5</v>
      </c>
      <c r="I63" s="6">
        <v>221</v>
      </c>
      <c r="J63" s="11">
        <v>1105</v>
      </c>
      <c r="M63" s="6" t="str" cm="1">
        <f t="array" ref="M63">_xlfn.IFS(J63&lt;=500,"Low",J63&gt;=1500,"Mid",J63&lt;=1500,"High",TRUE,"no")</f>
        <v>High</v>
      </c>
      <c r="N63" s="6">
        <f t="shared" si="0"/>
        <v>1</v>
      </c>
      <c r="O63" s="6" t="str">
        <f t="shared" si="1"/>
        <v>Charlie</v>
      </c>
    </row>
    <row r="64" spans="1:15" x14ac:dyDescent="0.3">
      <c r="A64" s="10">
        <v>63</v>
      </c>
      <c r="B64" s="18">
        <v>44989</v>
      </c>
      <c r="C64" s="6" t="s">
        <v>82</v>
      </c>
      <c r="D64" s="6" t="s">
        <v>1</v>
      </c>
      <c r="E64" s="6" t="s">
        <v>14</v>
      </c>
      <c r="F64" s="6">
        <v>47</v>
      </c>
      <c r="G64" s="6" t="s">
        <v>17</v>
      </c>
      <c r="H64" s="6">
        <v>2</v>
      </c>
      <c r="I64" s="6">
        <v>318</v>
      </c>
      <c r="J64" s="11">
        <v>636</v>
      </c>
      <c r="M64" s="6" t="str" cm="1">
        <f t="array" ref="M64">_xlfn.IFS(J64&lt;=500,"Low",J64&gt;=1500,"Mid",J64&lt;=1500,"High",TRUE,"no")</f>
        <v>High</v>
      </c>
      <c r="N64" s="6">
        <f t="shared" si="0"/>
        <v>1</v>
      </c>
      <c r="O64" s="6" t="str">
        <f t="shared" si="1"/>
        <v>Charlie</v>
      </c>
    </row>
    <row r="65" spans="1:15" x14ac:dyDescent="0.3">
      <c r="A65" s="10">
        <v>64</v>
      </c>
      <c r="B65" s="18">
        <v>44990</v>
      </c>
      <c r="C65" s="6" t="s">
        <v>83</v>
      </c>
      <c r="D65" s="6" t="s">
        <v>4</v>
      </c>
      <c r="E65" s="6" t="s">
        <v>14</v>
      </c>
      <c r="F65" s="6">
        <v>30</v>
      </c>
      <c r="G65" s="6" t="s">
        <v>15</v>
      </c>
      <c r="H65" s="6">
        <v>1</v>
      </c>
      <c r="I65" s="6">
        <v>33</v>
      </c>
      <c r="J65" s="11">
        <v>33</v>
      </c>
      <c r="M65" s="6" t="str" cm="1">
        <f t="array" ref="M65">_xlfn.IFS(J65&lt;=500,"Low",J65&gt;=1500,"Mid",J65&lt;=1500,"High",TRUE,"no")</f>
        <v>Low</v>
      </c>
      <c r="N65" s="6">
        <f t="shared" si="0"/>
        <v>10</v>
      </c>
      <c r="O65" s="6" t="str">
        <f t="shared" si="1"/>
        <v>Alice</v>
      </c>
    </row>
    <row r="66" spans="1:15" x14ac:dyDescent="0.3">
      <c r="A66" s="10">
        <v>65</v>
      </c>
      <c r="B66" s="18">
        <v>44991</v>
      </c>
      <c r="C66" s="6" t="s">
        <v>84</v>
      </c>
      <c r="D66" s="6" t="s">
        <v>2</v>
      </c>
      <c r="E66" s="6" t="s">
        <v>14</v>
      </c>
      <c r="F66" s="6">
        <v>37</v>
      </c>
      <c r="G66" s="6" t="s">
        <v>27</v>
      </c>
      <c r="H66" s="6">
        <v>2</v>
      </c>
      <c r="I66" s="6">
        <v>321</v>
      </c>
      <c r="J66" s="11">
        <v>642</v>
      </c>
      <c r="M66" s="6" t="str" cm="1">
        <f t="array" ref="M66">_xlfn.IFS(J66&lt;=500,"Low",J66&gt;=1500,"Mid",J66&lt;=1500,"High",TRUE,"no")</f>
        <v>High</v>
      </c>
      <c r="N66" s="6">
        <f t="shared" si="0"/>
        <v>2</v>
      </c>
      <c r="O66" s="6" t="str">
        <f t="shared" si="1"/>
        <v>Diana</v>
      </c>
    </row>
    <row r="67" spans="1:15" x14ac:dyDescent="0.3">
      <c r="A67" s="10">
        <v>66</v>
      </c>
      <c r="B67" s="18">
        <v>44992</v>
      </c>
      <c r="C67" s="6" t="s">
        <v>85</v>
      </c>
      <c r="D67" s="6" t="s">
        <v>1</v>
      </c>
      <c r="E67" s="6" t="s">
        <v>14</v>
      </c>
      <c r="F67" s="6">
        <v>49</v>
      </c>
      <c r="G67" s="6" t="s">
        <v>23</v>
      </c>
      <c r="H67" s="6">
        <v>2</v>
      </c>
      <c r="I67" s="6">
        <v>340</v>
      </c>
      <c r="J67" s="11">
        <v>680</v>
      </c>
      <c r="M67" s="6" t="str" cm="1">
        <f t="array" ref="M67">_xlfn.IFS(J67&lt;=500,"Low",J67&gt;=1500,"Mid",J67&lt;=1500,"High",TRUE,"no")</f>
        <v>High</v>
      </c>
      <c r="N67" s="6">
        <f t="shared" ref="N67:N130" si="2">MATCH(D67,$D$2:$D$1001,0)</f>
        <v>1</v>
      </c>
      <c r="O67" s="6" t="str">
        <f t="shared" ref="O67:O130" si="3">INDEX(D67:D1066,MATCH($D$2,$D$2:$D$1001,0))</f>
        <v>Charlie</v>
      </c>
    </row>
    <row r="68" spans="1:15" x14ac:dyDescent="0.3">
      <c r="A68" s="10">
        <v>67</v>
      </c>
      <c r="B68" s="18">
        <v>44993</v>
      </c>
      <c r="C68" s="6" t="s">
        <v>86</v>
      </c>
      <c r="D68" s="6" t="s">
        <v>2</v>
      </c>
      <c r="E68" s="6" t="s">
        <v>19</v>
      </c>
      <c r="F68" s="6">
        <v>42</v>
      </c>
      <c r="G68" s="6" t="s">
        <v>17</v>
      </c>
      <c r="H68" s="6">
        <v>4</v>
      </c>
      <c r="I68" s="6">
        <v>266</v>
      </c>
      <c r="J68" s="11">
        <v>1064</v>
      </c>
      <c r="M68" s="6" t="str" cm="1">
        <f t="array" ref="M68">_xlfn.IFS(J68&lt;=500,"Low",J68&gt;=1500,"Mid",J68&lt;=1500,"High",TRUE,"no")</f>
        <v>High</v>
      </c>
      <c r="N68" s="6">
        <f t="shared" si="2"/>
        <v>2</v>
      </c>
      <c r="O68" s="6" t="str">
        <f t="shared" si="3"/>
        <v>Diana</v>
      </c>
    </row>
    <row r="69" spans="1:15" x14ac:dyDescent="0.3">
      <c r="A69" s="10">
        <v>68</v>
      </c>
      <c r="B69" s="18">
        <v>44994</v>
      </c>
      <c r="C69" s="6" t="s">
        <v>87</v>
      </c>
      <c r="D69" s="6" t="s">
        <v>3</v>
      </c>
      <c r="E69" s="6" t="s">
        <v>19</v>
      </c>
      <c r="F69" s="6">
        <v>27</v>
      </c>
      <c r="G69" s="6" t="s">
        <v>20</v>
      </c>
      <c r="H69" s="6">
        <v>1</v>
      </c>
      <c r="I69" s="6">
        <v>246</v>
      </c>
      <c r="J69" s="11">
        <v>246</v>
      </c>
      <c r="M69" s="6" t="str" cm="1">
        <f t="array" ref="M69">_xlfn.IFS(J69&lt;=500,"Low",J69&gt;=1500,"Mid",J69&lt;=1500,"High",TRUE,"no")</f>
        <v>Low</v>
      </c>
      <c r="N69" s="6">
        <f t="shared" si="2"/>
        <v>7</v>
      </c>
      <c r="O69" s="6" t="str">
        <f t="shared" si="3"/>
        <v>Bob</v>
      </c>
    </row>
    <row r="70" spans="1:15" x14ac:dyDescent="0.3">
      <c r="A70" s="10">
        <v>69</v>
      </c>
      <c r="B70" s="18">
        <v>44995</v>
      </c>
      <c r="C70" s="6" t="s">
        <v>88</v>
      </c>
      <c r="D70" s="6" t="s">
        <v>4</v>
      </c>
      <c r="E70" s="6" t="s">
        <v>14</v>
      </c>
      <c r="F70" s="6">
        <v>56</v>
      </c>
      <c r="G70" s="6" t="s">
        <v>27</v>
      </c>
      <c r="H70" s="6">
        <v>2</v>
      </c>
      <c r="I70" s="6">
        <v>235</v>
      </c>
      <c r="J70" s="11">
        <v>470</v>
      </c>
      <c r="M70" s="6" t="str" cm="1">
        <f t="array" ref="M70">_xlfn.IFS(J70&lt;=500,"Low",J70&gt;=1500,"Mid",J70&lt;=1500,"High",TRUE,"no")</f>
        <v>Low</v>
      </c>
      <c r="N70" s="6">
        <f t="shared" si="2"/>
        <v>10</v>
      </c>
      <c r="O70" s="6" t="str">
        <f t="shared" si="3"/>
        <v>Alice</v>
      </c>
    </row>
    <row r="71" spans="1:15" x14ac:dyDescent="0.3">
      <c r="A71" s="10">
        <v>70</v>
      </c>
      <c r="B71" s="18">
        <v>44996</v>
      </c>
      <c r="C71" s="6" t="s">
        <v>89</v>
      </c>
      <c r="D71" s="6" t="s">
        <v>3</v>
      </c>
      <c r="E71" s="6" t="s">
        <v>14</v>
      </c>
      <c r="F71" s="6">
        <v>38</v>
      </c>
      <c r="G71" s="6" t="s">
        <v>20</v>
      </c>
      <c r="H71" s="6">
        <v>1</v>
      </c>
      <c r="I71" s="6">
        <v>45</v>
      </c>
      <c r="J71" s="11">
        <v>45</v>
      </c>
      <c r="M71" s="6" t="str" cm="1">
        <f t="array" ref="M71">_xlfn.IFS(J71&lt;=500,"Low",J71&gt;=1500,"Mid",J71&lt;=1500,"High",TRUE,"no")</f>
        <v>Low</v>
      </c>
      <c r="N71" s="6">
        <f t="shared" si="2"/>
        <v>7</v>
      </c>
      <c r="O71" s="6" t="str">
        <f t="shared" si="3"/>
        <v>Bob</v>
      </c>
    </row>
    <row r="72" spans="1:15" x14ac:dyDescent="0.3">
      <c r="A72" s="10">
        <v>71</v>
      </c>
      <c r="B72" s="18">
        <v>44997</v>
      </c>
      <c r="C72" s="6" t="s">
        <v>90</v>
      </c>
      <c r="D72" s="6" t="s">
        <v>3</v>
      </c>
      <c r="E72" s="6" t="s">
        <v>14</v>
      </c>
      <c r="F72" s="6">
        <v>31</v>
      </c>
      <c r="G72" s="6" t="s">
        <v>20</v>
      </c>
      <c r="H72" s="6">
        <v>5</v>
      </c>
      <c r="I72" s="6">
        <v>26</v>
      </c>
      <c r="J72" s="11">
        <v>130</v>
      </c>
      <c r="M72" s="6" t="str" cm="1">
        <f t="array" ref="M72">_xlfn.IFS(J72&lt;=500,"Low",J72&gt;=1500,"Mid",J72&lt;=1500,"High",TRUE,"no")</f>
        <v>Low</v>
      </c>
      <c r="N72" s="6">
        <f t="shared" si="2"/>
        <v>7</v>
      </c>
      <c r="O72" s="6" t="str">
        <f t="shared" si="3"/>
        <v>Bob</v>
      </c>
    </row>
    <row r="73" spans="1:15" x14ac:dyDescent="0.3">
      <c r="A73" s="10">
        <v>72</v>
      </c>
      <c r="B73" s="18">
        <v>44998</v>
      </c>
      <c r="C73" s="6" t="s">
        <v>91</v>
      </c>
      <c r="D73" s="6" t="s">
        <v>4</v>
      </c>
      <c r="E73" s="6" t="s">
        <v>19</v>
      </c>
      <c r="F73" s="6">
        <v>35</v>
      </c>
      <c r="G73" s="6" t="s">
        <v>15</v>
      </c>
      <c r="H73" s="6">
        <v>3</v>
      </c>
      <c r="I73" s="6">
        <v>483</v>
      </c>
      <c r="J73" s="11">
        <v>1449</v>
      </c>
      <c r="M73" s="6" t="str" cm="1">
        <f t="array" ref="M73">_xlfn.IFS(J73&lt;=500,"Low",J73&gt;=1500,"Mid",J73&lt;=1500,"High",TRUE,"no")</f>
        <v>High</v>
      </c>
      <c r="N73" s="6">
        <f t="shared" si="2"/>
        <v>10</v>
      </c>
      <c r="O73" s="6" t="str">
        <f t="shared" si="3"/>
        <v>Alice</v>
      </c>
    </row>
    <row r="74" spans="1:15" x14ac:dyDescent="0.3">
      <c r="A74" s="10">
        <v>73</v>
      </c>
      <c r="B74" s="18">
        <v>44999</v>
      </c>
      <c r="C74" s="6" t="s">
        <v>92</v>
      </c>
      <c r="D74" s="6" t="s">
        <v>3</v>
      </c>
      <c r="E74" s="6" t="s">
        <v>14</v>
      </c>
      <c r="F74" s="6">
        <v>22</v>
      </c>
      <c r="G74" s="6" t="s">
        <v>27</v>
      </c>
      <c r="H74" s="6">
        <v>1</v>
      </c>
      <c r="I74" s="6">
        <v>359</v>
      </c>
      <c r="J74" s="11">
        <v>359</v>
      </c>
      <c r="M74" s="6" t="str" cm="1">
        <f t="array" ref="M74">_xlfn.IFS(J74&lt;=500,"Low",J74&gt;=1500,"Mid",J74&lt;=1500,"High",TRUE,"no")</f>
        <v>Low</v>
      </c>
      <c r="N74" s="6">
        <f t="shared" si="2"/>
        <v>7</v>
      </c>
      <c r="O74" s="6" t="str">
        <f t="shared" si="3"/>
        <v>Bob</v>
      </c>
    </row>
    <row r="75" spans="1:15" x14ac:dyDescent="0.3">
      <c r="A75" s="10">
        <v>74</v>
      </c>
      <c r="B75" s="18">
        <v>45000</v>
      </c>
      <c r="C75" s="6" t="s">
        <v>93</v>
      </c>
      <c r="D75" s="6" t="s">
        <v>4</v>
      </c>
      <c r="E75" s="6" t="s">
        <v>14</v>
      </c>
      <c r="F75" s="6">
        <v>35</v>
      </c>
      <c r="G75" s="6" t="s">
        <v>20</v>
      </c>
      <c r="H75" s="6">
        <v>4</v>
      </c>
      <c r="I75" s="6">
        <v>154</v>
      </c>
      <c r="J75" s="11">
        <v>616</v>
      </c>
      <c r="M75" s="6" t="str" cm="1">
        <f t="array" ref="M75">_xlfn.IFS(J75&lt;=500,"Low",J75&gt;=1500,"Mid",J75&lt;=1500,"High",TRUE,"no")</f>
        <v>High</v>
      </c>
      <c r="N75" s="6">
        <f t="shared" si="2"/>
        <v>10</v>
      </c>
      <c r="O75" s="6" t="str">
        <f t="shared" si="3"/>
        <v>Alice</v>
      </c>
    </row>
    <row r="76" spans="1:15" x14ac:dyDescent="0.3">
      <c r="A76" s="10">
        <v>75</v>
      </c>
      <c r="B76" s="18">
        <v>45001</v>
      </c>
      <c r="C76" s="6" t="s">
        <v>94</v>
      </c>
      <c r="D76" s="6" t="s">
        <v>2</v>
      </c>
      <c r="E76" s="6" t="s">
        <v>14</v>
      </c>
      <c r="F76" s="6">
        <v>58</v>
      </c>
      <c r="G76" s="6" t="s">
        <v>20</v>
      </c>
      <c r="H76" s="6">
        <v>2</v>
      </c>
      <c r="I76" s="6">
        <v>49</v>
      </c>
      <c r="J76" s="11">
        <v>98</v>
      </c>
      <c r="M76" s="6" t="str" cm="1">
        <f t="array" ref="M76">_xlfn.IFS(J76&lt;=500,"Low",J76&gt;=1500,"Mid",J76&lt;=1500,"High",TRUE,"no")</f>
        <v>Low</v>
      </c>
      <c r="N76" s="6">
        <f t="shared" si="2"/>
        <v>2</v>
      </c>
      <c r="O76" s="6" t="str">
        <f t="shared" si="3"/>
        <v>Diana</v>
      </c>
    </row>
    <row r="77" spans="1:15" x14ac:dyDescent="0.3">
      <c r="A77" s="10">
        <v>76</v>
      </c>
      <c r="B77" s="18">
        <v>45002</v>
      </c>
      <c r="C77" s="6" t="s">
        <v>95</v>
      </c>
      <c r="D77" s="6" t="s">
        <v>3</v>
      </c>
      <c r="E77" s="6" t="s">
        <v>19</v>
      </c>
      <c r="F77" s="6">
        <v>30</v>
      </c>
      <c r="G77" s="6" t="s">
        <v>20</v>
      </c>
      <c r="H77" s="6">
        <v>4</v>
      </c>
      <c r="I77" s="6">
        <v>25</v>
      </c>
      <c r="J77" s="11">
        <v>100</v>
      </c>
      <c r="M77" s="6" t="str" cm="1">
        <f t="array" ref="M77">_xlfn.IFS(J77&lt;=500,"Low",J77&gt;=1500,"Mid",J77&lt;=1500,"High",TRUE,"no")</f>
        <v>Low</v>
      </c>
      <c r="N77" s="6">
        <f t="shared" si="2"/>
        <v>7</v>
      </c>
      <c r="O77" s="6" t="str">
        <f t="shared" si="3"/>
        <v>Bob</v>
      </c>
    </row>
    <row r="78" spans="1:15" x14ac:dyDescent="0.3">
      <c r="A78" s="10">
        <v>77</v>
      </c>
      <c r="B78" s="18">
        <v>45003</v>
      </c>
      <c r="C78" s="6" t="s">
        <v>96</v>
      </c>
      <c r="D78" s="6" t="s">
        <v>4</v>
      </c>
      <c r="E78" s="6" t="s">
        <v>19</v>
      </c>
      <c r="F78" s="6">
        <v>52</v>
      </c>
      <c r="G78" s="6" t="s">
        <v>20</v>
      </c>
      <c r="H78" s="6">
        <v>5</v>
      </c>
      <c r="I78" s="6">
        <v>301</v>
      </c>
      <c r="J78" s="11">
        <v>1505</v>
      </c>
      <c r="M78" s="6" t="str" cm="1">
        <f t="array" ref="M78">_xlfn.IFS(J78&lt;=500,"Low",J78&gt;=1500,"Mid",J78&lt;=1500,"High",TRUE,"no")</f>
        <v>Mid</v>
      </c>
      <c r="N78" s="6">
        <f t="shared" si="2"/>
        <v>10</v>
      </c>
      <c r="O78" s="6" t="str">
        <f t="shared" si="3"/>
        <v>Alice</v>
      </c>
    </row>
    <row r="79" spans="1:15" x14ac:dyDescent="0.3">
      <c r="A79" s="10">
        <v>78</v>
      </c>
      <c r="B79" s="18">
        <v>45004</v>
      </c>
      <c r="C79" s="6" t="s">
        <v>97</v>
      </c>
      <c r="D79" s="6" t="s">
        <v>1</v>
      </c>
      <c r="E79" s="6" t="s">
        <v>19</v>
      </c>
      <c r="F79" s="6">
        <v>33</v>
      </c>
      <c r="G79" s="6" t="s">
        <v>20</v>
      </c>
      <c r="H79" s="6">
        <v>2</v>
      </c>
      <c r="I79" s="6">
        <v>437</v>
      </c>
      <c r="J79" s="11">
        <v>874</v>
      </c>
      <c r="M79" s="6" t="str" cm="1">
        <f t="array" ref="M79">_xlfn.IFS(J79&lt;=500,"Low",J79&gt;=1500,"Mid",J79&lt;=1500,"High",TRUE,"no")</f>
        <v>High</v>
      </c>
      <c r="N79" s="6">
        <f t="shared" si="2"/>
        <v>1</v>
      </c>
      <c r="O79" s="6" t="str">
        <f t="shared" si="3"/>
        <v>Charlie</v>
      </c>
    </row>
    <row r="80" spans="1:15" x14ac:dyDescent="0.3">
      <c r="A80" s="10">
        <v>79</v>
      </c>
      <c r="B80" s="18">
        <v>45005</v>
      </c>
      <c r="C80" s="6" t="s">
        <v>98</v>
      </c>
      <c r="D80" s="6" t="s">
        <v>3</v>
      </c>
      <c r="E80" s="6" t="s">
        <v>19</v>
      </c>
      <c r="F80" s="6">
        <v>24</v>
      </c>
      <c r="G80" s="6" t="s">
        <v>17</v>
      </c>
      <c r="H80" s="6">
        <v>3</v>
      </c>
      <c r="I80" s="6">
        <v>453</v>
      </c>
      <c r="J80" s="11">
        <v>1359</v>
      </c>
      <c r="M80" s="6" t="str" cm="1">
        <f t="array" ref="M80">_xlfn.IFS(J80&lt;=500,"Low",J80&gt;=1500,"Mid",J80&lt;=1500,"High",TRUE,"no")</f>
        <v>High</v>
      </c>
      <c r="N80" s="6">
        <f t="shared" si="2"/>
        <v>7</v>
      </c>
      <c r="O80" s="6" t="str">
        <f t="shared" si="3"/>
        <v>Bob</v>
      </c>
    </row>
    <row r="81" spans="1:15" x14ac:dyDescent="0.3">
      <c r="A81" s="10">
        <v>80</v>
      </c>
      <c r="B81" s="18">
        <v>45006</v>
      </c>
      <c r="C81" s="6" t="s">
        <v>99</v>
      </c>
      <c r="D81" s="6" t="s">
        <v>2</v>
      </c>
      <c r="E81" s="6" t="s">
        <v>14</v>
      </c>
      <c r="F81" s="6">
        <v>48</v>
      </c>
      <c r="G81" s="6" t="s">
        <v>23</v>
      </c>
      <c r="H81" s="6">
        <v>2</v>
      </c>
      <c r="I81" s="6">
        <v>451</v>
      </c>
      <c r="J81" s="11">
        <v>902</v>
      </c>
      <c r="M81" s="6" t="str" cm="1">
        <f t="array" ref="M81">_xlfn.IFS(J81&lt;=500,"Low",J81&gt;=1500,"Mid",J81&lt;=1500,"High",TRUE,"no")</f>
        <v>High</v>
      </c>
      <c r="N81" s="6">
        <f t="shared" si="2"/>
        <v>2</v>
      </c>
      <c r="O81" s="6" t="str">
        <f t="shared" si="3"/>
        <v>Diana</v>
      </c>
    </row>
    <row r="82" spans="1:15" x14ac:dyDescent="0.3">
      <c r="A82" s="10">
        <v>81</v>
      </c>
      <c r="B82" s="18">
        <v>45007</v>
      </c>
      <c r="C82" s="6" t="s">
        <v>100</v>
      </c>
      <c r="D82" s="6" t="s">
        <v>4</v>
      </c>
      <c r="E82" s="6" t="s">
        <v>19</v>
      </c>
      <c r="F82" s="6">
        <v>21</v>
      </c>
      <c r="G82" s="6" t="s">
        <v>17</v>
      </c>
      <c r="H82" s="6">
        <v>3</v>
      </c>
      <c r="I82" s="6">
        <v>418</v>
      </c>
      <c r="J82" s="11">
        <v>1254</v>
      </c>
      <c r="M82" s="6" t="str" cm="1">
        <f t="array" ref="M82">_xlfn.IFS(J82&lt;=500,"Low",J82&gt;=1500,"Mid",J82&lt;=1500,"High",TRUE,"no")</f>
        <v>High</v>
      </c>
      <c r="N82" s="6">
        <f t="shared" si="2"/>
        <v>10</v>
      </c>
      <c r="O82" s="6" t="str">
        <f t="shared" si="3"/>
        <v>Alice</v>
      </c>
    </row>
    <row r="83" spans="1:15" x14ac:dyDescent="0.3">
      <c r="A83" s="10">
        <v>82</v>
      </c>
      <c r="B83" s="18">
        <v>45008</v>
      </c>
      <c r="C83" s="6" t="s">
        <v>101</v>
      </c>
      <c r="D83" s="6" t="s">
        <v>3</v>
      </c>
      <c r="E83" s="6" t="s">
        <v>19</v>
      </c>
      <c r="F83" s="6">
        <v>33</v>
      </c>
      <c r="G83" s="6" t="s">
        <v>27</v>
      </c>
      <c r="H83" s="6">
        <v>5</v>
      </c>
      <c r="I83" s="6">
        <v>107</v>
      </c>
      <c r="J83" s="11">
        <v>535</v>
      </c>
      <c r="M83" s="6" t="str" cm="1">
        <f t="array" ref="M83">_xlfn.IFS(J83&lt;=500,"Low",J83&gt;=1500,"Mid",J83&lt;=1500,"High",TRUE,"no")</f>
        <v>High</v>
      </c>
      <c r="N83" s="6">
        <f t="shared" si="2"/>
        <v>7</v>
      </c>
      <c r="O83" s="6" t="str">
        <f t="shared" si="3"/>
        <v>Bob</v>
      </c>
    </row>
    <row r="84" spans="1:15" x14ac:dyDescent="0.3">
      <c r="A84" s="10">
        <v>83</v>
      </c>
      <c r="B84" s="18">
        <v>45009</v>
      </c>
      <c r="C84" s="6" t="s">
        <v>102</v>
      </c>
      <c r="D84" s="6" t="s">
        <v>3</v>
      </c>
      <c r="E84" s="6" t="s">
        <v>19</v>
      </c>
      <c r="F84" s="6">
        <v>50</v>
      </c>
      <c r="G84" s="6" t="s">
        <v>23</v>
      </c>
      <c r="H84" s="6">
        <v>5</v>
      </c>
      <c r="I84" s="6">
        <v>209</v>
      </c>
      <c r="J84" s="11">
        <v>1045</v>
      </c>
      <c r="M84" s="6" t="str" cm="1">
        <f t="array" ref="M84">_xlfn.IFS(J84&lt;=500,"Low",J84&gt;=1500,"Mid",J84&lt;=1500,"High",TRUE,"no")</f>
        <v>High</v>
      </c>
      <c r="N84" s="6">
        <f t="shared" si="2"/>
        <v>7</v>
      </c>
      <c r="O84" s="6" t="str">
        <f t="shared" si="3"/>
        <v>Bob</v>
      </c>
    </row>
    <row r="85" spans="1:15" x14ac:dyDescent="0.3">
      <c r="A85" s="10">
        <v>84</v>
      </c>
      <c r="B85" s="18">
        <v>45010</v>
      </c>
      <c r="C85" s="6" t="s">
        <v>103</v>
      </c>
      <c r="D85" s="6" t="s">
        <v>3</v>
      </c>
      <c r="E85" s="6" t="s">
        <v>14</v>
      </c>
      <c r="F85" s="6">
        <v>25</v>
      </c>
      <c r="G85" s="6" t="s">
        <v>17</v>
      </c>
      <c r="H85" s="6">
        <v>3</v>
      </c>
      <c r="I85" s="6">
        <v>118</v>
      </c>
      <c r="J85" s="11">
        <v>354</v>
      </c>
      <c r="M85" s="6" t="str" cm="1">
        <f t="array" ref="M85">_xlfn.IFS(J85&lt;=500,"Low",J85&gt;=1500,"Mid",J85&lt;=1500,"High",TRUE,"no")</f>
        <v>Low</v>
      </c>
      <c r="N85" s="6">
        <f t="shared" si="2"/>
        <v>7</v>
      </c>
      <c r="O85" s="6" t="str">
        <f t="shared" si="3"/>
        <v>Bob</v>
      </c>
    </row>
    <row r="86" spans="1:15" x14ac:dyDescent="0.3">
      <c r="A86" s="10">
        <v>85</v>
      </c>
      <c r="B86" s="18">
        <v>45011</v>
      </c>
      <c r="C86" s="6" t="s">
        <v>104</v>
      </c>
      <c r="D86" s="6" t="s">
        <v>2</v>
      </c>
      <c r="E86" s="6" t="s">
        <v>14</v>
      </c>
      <c r="F86" s="6">
        <v>22</v>
      </c>
      <c r="G86" s="6" t="s">
        <v>23</v>
      </c>
      <c r="H86" s="6">
        <v>3</v>
      </c>
      <c r="I86" s="6">
        <v>38</v>
      </c>
      <c r="J86" s="11">
        <v>114</v>
      </c>
      <c r="M86" s="6" t="str" cm="1">
        <f t="array" ref="M86">_xlfn.IFS(J86&lt;=500,"Low",J86&gt;=1500,"Mid",J86&lt;=1500,"High",TRUE,"no")</f>
        <v>Low</v>
      </c>
      <c r="N86" s="6">
        <f t="shared" si="2"/>
        <v>2</v>
      </c>
      <c r="O86" s="6" t="str">
        <f t="shared" si="3"/>
        <v>Diana</v>
      </c>
    </row>
    <row r="87" spans="1:15" x14ac:dyDescent="0.3">
      <c r="A87" s="10">
        <v>86</v>
      </c>
      <c r="B87" s="18">
        <v>45012</v>
      </c>
      <c r="C87" s="6" t="s">
        <v>105</v>
      </c>
      <c r="D87" s="6" t="s">
        <v>4</v>
      </c>
      <c r="E87" s="6" t="s">
        <v>14</v>
      </c>
      <c r="F87" s="6">
        <v>50</v>
      </c>
      <c r="G87" s="6" t="s">
        <v>15</v>
      </c>
      <c r="H87" s="6">
        <v>3</v>
      </c>
      <c r="I87" s="6">
        <v>156</v>
      </c>
      <c r="J87" s="11">
        <v>468</v>
      </c>
      <c r="M87" s="6" t="str" cm="1">
        <f t="array" ref="M87">_xlfn.IFS(J87&lt;=500,"Low",J87&gt;=1500,"Mid",J87&lt;=1500,"High",TRUE,"no")</f>
        <v>Low</v>
      </c>
      <c r="N87" s="6">
        <f t="shared" si="2"/>
        <v>10</v>
      </c>
      <c r="O87" s="6" t="str">
        <f t="shared" si="3"/>
        <v>Alice</v>
      </c>
    </row>
    <row r="88" spans="1:15" x14ac:dyDescent="0.3">
      <c r="A88" s="10">
        <v>87</v>
      </c>
      <c r="B88" s="18">
        <v>45013</v>
      </c>
      <c r="C88" s="6" t="s">
        <v>106</v>
      </c>
      <c r="D88" s="6" t="s">
        <v>1</v>
      </c>
      <c r="E88" s="6" t="s">
        <v>19</v>
      </c>
      <c r="F88" s="6">
        <v>53</v>
      </c>
      <c r="G88" s="6" t="s">
        <v>20</v>
      </c>
      <c r="H88" s="6">
        <v>1</v>
      </c>
      <c r="I88" s="6">
        <v>463</v>
      </c>
      <c r="J88" s="11">
        <v>463</v>
      </c>
      <c r="M88" s="6" t="str" cm="1">
        <f t="array" ref="M88">_xlfn.IFS(J88&lt;=500,"Low",J88&gt;=1500,"Mid",J88&lt;=1500,"High",TRUE,"no")</f>
        <v>Low</v>
      </c>
      <c r="N88" s="6">
        <f t="shared" si="2"/>
        <v>1</v>
      </c>
      <c r="O88" s="6" t="str">
        <f t="shared" si="3"/>
        <v>Charlie</v>
      </c>
    </row>
    <row r="89" spans="1:15" x14ac:dyDescent="0.3">
      <c r="A89" s="10">
        <v>88</v>
      </c>
      <c r="B89" s="18">
        <v>45014</v>
      </c>
      <c r="C89" s="6" t="s">
        <v>107</v>
      </c>
      <c r="D89" s="6" t="s">
        <v>1</v>
      </c>
      <c r="E89" s="6" t="s">
        <v>14</v>
      </c>
      <c r="F89" s="6">
        <v>54</v>
      </c>
      <c r="G89" s="6" t="s">
        <v>15</v>
      </c>
      <c r="H89" s="6">
        <v>5</v>
      </c>
      <c r="I89" s="6">
        <v>151</v>
      </c>
      <c r="J89" s="11">
        <v>755</v>
      </c>
      <c r="M89" s="6" t="str" cm="1">
        <f t="array" ref="M89">_xlfn.IFS(J89&lt;=500,"Low",J89&gt;=1500,"Mid",J89&lt;=1500,"High",TRUE,"no")</f>
        <v>High</v>
      </c>
      <c r="N89" s="6">
        <f t="shared" si="2"/>
        <v>1</v>
      </c>
      <c r="O89" s="6" t="str">
        <f t="shared" si="3"/>
        <v>Charlie</v>
      </c>
    </row>
    <row r="90" spans="1:15" x14ac:dyDescent="0.3">
      <c r="A90" s="10">
        <v>89</v>
      </c>
      <c r="B90" s="18">
        <v>45015</v>
      </c>
      <c r="C90" s="6" t="s">
        <v>108</v>
      </c>
      <c r="D90" s="6" t="s">
        <v>1</v>
      </c>
      <c r="E90" s="6" t="s">
        <v>14</v>
      </c>
      <c r="F90" s="6">
        <v>29</v>
      </c>
      <c r="G90" s="6" t="s">
        <v>15</v>
      </c>
      <c r="H90" s="6">
        <v>5</v>
      </c>
      <c r="I90" s="6">
        <v>305</v>
      </c>
      <c r="J90" s="11">
        <v>1525</v>
      </c>
      <c r="M90" s="6" t="str" cm="1">
        <f t="array" ref="M90">_xlfn.IFS(J90&lt;=500,"Low",J90&gt;=1500,"Mid",J90&lt;=1500,"High",TRUE,"no")</f>
        <v>Mid</v>
      </c>
      <c r="N90" s="6">
        <f t="shared" si="2"/>
        <v>1</v>
      </c>
      <c r="O90" s="6" t="str">
        <f t="shared" si="3"/>
        <v>Charlie</v>
      </c>
    </row>
    <row r="91" spans="1:15" x14ac:dyDescent="0.3">
      <c r="A91" s="10">
        <v>90</v>
      </c>
      <c r="B91" s="18">
        <v>45016</v>
      </c>
      <c r="C91" s="6" t="s">
        <v>109</v>
      </c>
      <c r="D91" s="6" t="s">
        <v>4</v>
      </c>
      <c r="E91" s="6" t="s">
        <v>14</v>
      </c>
      <c r="F91" s="6">
        <v>36</v>
      </c>
      <c r="G91" s="6" t="s">
        <v>27</v>
      </c>
      <c r="H91" s="6">
        <v>1</v>
      </c>
      <c r="I91" s="6">
        <v>340</v>
      </c>
      <c r="J91" s="11">
        <v>340</v>
      </c>
      <c r="M91" s="6" t="str" cm="1">
        <f t="array" ref="M91">_xlfn.IFS(J91&lt;=500,"Low",J91&gt;=1500,"Mid",J91&lt;=1500,"High",TRUE,"no")</f>
        <v>Low</v>
      </c>
      <c r="N91" s="6">
        <f t="shared" si="2"/>
        <v>10</v>
      </c>
      <c r="O91" s="6" t="str">
        <f t="shared" si="3"/>
        <v>Alice</v>
      </c>
    </row>
    <row r="92" spans="1:15" x14ac:dyDescent="0.3">
      <c r="A92" s="10">
        <v>91</v>
      </c>
      <c r="B92" s="18">
        <v>45017</v>
      </c>
      <c r="C92" s="6" t="s">
        <v>110</v>
      </c>
      <c r="D92" s="6" t="s">
        <v>1</v>
      </c>
      <c r="E92" s="6" t="s">
        <v>19</v>
      </c>
      <c r="F92" s="6">
        <v>35</v>
      </c>
      <c r="G92" s="6" t="s">
        <v>20</v>
      </c>
      <c r="H92" s="6">
        <v>4</v>
      </c>
      <c r="I92" s="6">
        <v>324</v>
      </c>
      <c r="J92" s="11">
        <v>1296</v>
      </c>
      <c r="M92" s="6" t="str" cm="1">
        <f t="array" ref="M92">_xlfn.IFS(J92&lt;=500,"Low",J92&gt;=1500,"Mid",J92&lt;=1500,"High",TRUE,"no")</f>
        <v>High</v>
      </c>
      <c r="N92" s="6">
        <f t="shared" si="2"/>
        <v>1</v>
      </c>
      <c r="O92" s="6" t="str">
        <f t="shared" si="3"/>
        <v>Charlie</v>
      </c>
    </row>
    <row r="93" spans="1:15" x14ac:dyDescent="0.3">
      <c r="A93" s="10">
        <v>92</v>
      </c>
      <c r="B93" s="18">
        <v>45018</v>
      </c>
      <c r="C93" s="6" t="s">
        <v>111</v>
      </c>
      <c r="D93" s="6" t="s">
        <v>2</v>
      </c>
      <c r="E93" s="6" t="s">
        <v>14</v>
      </c>
      <c r="F93" s="6">
        <v>32</v>
      </c>
      <c r="G93" s="6" t="s">
        <v>23</v>
      </c>
      <c r="H93" s="6">
        <v>3</v>
      </c>
      <c r="I93" s="6">
        <v>122</v>
      </c>
      <c r="J93" s="11">
        <v>366</v>
      </c>
      <c r="M93" s="6" t="str" cm="1">
        <f t="array" ref="M93">_xlfn.IFS(J93&lt;=500,"Low",J93&gt;=1500,"Mid",J93&lt;=1500,"High",TRUE,"no")</f>
        <v>Low</v>
      </c>
      <c r="N93" s="6">
        <f t="shared" si="2"/>
        <v>2</v>
      </c>
      <c r="O93" s="6" t="str">
        <f t="shared" si="3"/>
        <v>Diana</v>
      </c>
    </row>
    <row r="94" spans="1:15" x14ac:dyDescent="0.3">
      <c r="A94" s="10">
        <v>93</v>
      </c>
      <c r="B94" s="18">
        <v>45019</v>
      </c>
      <c r="C94" s="6" t="s">
        <v>112</v>
      </c>
      <c r="D94" s="6" t="s">
        <v>4</v>
      </c>
      <c r="E94" s="6" t="s">
        <v>14</v>
      </c>
      <c r="F94" s="6">
        <v>38</v>
      </c>
      <c r="G94" s="6" t="s">
        <v>27</v>
      </c>
      <c r="H94" s="6">
        <v>4</v>
      </c>
      <c r="I94" s="6">
        <v>225</v>
      </c>
      <c r="J94" s="11">
        <v>900</v>
      </c>
      <c r="M94" s="6" t="str" cm="1">
        <f t="array" ref="M94">_xlfn.IFS(J94&lt;=500,"Low",J94&gt;=1500,"Mid",J94&lt;=1500,"High",TRUE,"no")</f>
        <v>High</v>
      </c>
      <c r="N94" s="6">
        <f t="shared" si="2"/>
        <v>10</v>
      </c>
      <c r="O94" s="6" t="str">
        <f t="shared" si="3"/>
        <v>Alice</v>
      </c>
    </row>
    <row r="95" spans="1:15" x14ac:dyDescent="0.3">
      <c r="A95" s="10">
        <v>94</v>
      </c>
      <c r="B95" s="18">
        <v>45020</v>
      </c>
      <c r="C95" s="6" t="s">
        <v>113</v>
      </c>
      <c r="D95" s="6" t="s">
        <v>3</v>
      </c>
      <c r="E95" s="6" t="s">
        <v>14</v>
      </c>
      <c r="F95" s="6">
        <v>22</v>
      </c>
      <c r="G95" s="6" t="s">
        <v>27</v>
      </c>
      <c r="H95" s="6">
        <v>1</v>
      </c>
      <c r="I95" s="6">
        <v>314</v>
      </c>
      <c r="J95" s="11">
        <v>314</v>
      </c>
      <c r="M95" s="6" t="str" cm="1">
        <f t="array" ref="M95">_xlfn.IFS(J95&lt;=500,"Low",J95&gt;=1500,"Mid",J95&lt;=1500,"High",TRUE,"no")</f>
        <v>Low</v>
      </c>
      <c r="N95" s="6">
        <f t="shared" si="2"/>
        <v>7</v>
      </c>
      <c r="O95" s="6" t="str">
        <f t="shared" si="3"/>
        <v>Bob</v>
      </c>
    </row>
    <row r="96" spans="1:15" x14ac:dyDescent="0.3">
      <c r="A96" s="10">
        <v>95</v>
      </c>
      <c r="B96" s="18">
        <v>45021</v>
      </c>
      <c r="C96" s="6" t="s">
        <v>114</v>
      </c>
      <c r="D96" s="6" t="s">
        <v>2</v>
      </c>
      <c r="E96" s="6" t="s">
        <v>19</v>
      </c>
      <c r="F96" s="6">
        <v>32</v>
      </c>
      <c r="G96" s="6" t="s">
        <v>20</v>
      </c>
      <c r="H96" s="6">
        <v>2</v>
      </c>
      <c r="I96" s="6">
        <v>274</v>
      </c>
      <c r="J96" s="11">
        <v>548</v>
      </c>
      <c r="M96" s="6" t="str" cm="1">
        <f t="array" ref="M96">_xlfn.IFS(J96&lt;=500,"Low",J96&gt;=1500,"Mid",J96&lt;=1500,"High",TRUE,"no")</f>
        <v>High</v>
      </c>
      <c r="N96" s="6">
        <f t="shared" si="2"/>
        <v>2</v>
      </c>
      <c r="O96" s="6" t="str">
        <f t="shared" si="3"/>
        <v>Diana</v>
      </c>
    </row>
    <row r="97" spans="1:15" x14ac:dyDescent="0.3">
      <c r="A97" s="10">
        <v>96</v>
      </c>
      <c r="B97" s="18">
        <v>45022</v>
      </c>
      <c r="C97" s="6" t="s">
        <v>115</v>
      </c>
      <c r="D97" s="6" t="s">
        <v>3</v>
      </c>
      <c r="E97" s="6" t="s">
        <v>14</v>
      </c>
      <c r="F97" s="6">
        <v>42</v>
      </c>
      <c r="G97" s="6" t="s">
        <v>17</v>
      </c>
      <c r="H97" s="6">
        <v>3</v>
      </c>
      <c r="I97" s="6">
        <v>281</v>
      </c>
      <c r="J97" s="11">
        <v>843</v>
      </c>
      <c r="M97" s="6" t="str" cm="1">
        <f t="array" ref="M97">_xlfn.IFS(J97&lt;=500,"Low",J97&gt;=1500,"Mid",J97&lt;=1500,"High",TRUE,"no")</f>
        <v>High</v>
      </c>
      <c r="N97" s="6">
        <f t="shared" si="2"/>
        <v>7</v>
      </c>
      <c r="O97" s="6" t="str">
        <f t="shared" si="3"/>
        <v>Bob</v>
      </c>
    </row>
    <row r="98" spans="1:15" x14ac:dyDescent="0.3">
      <c r="A98" s="10">
        <v>97</v>
      </c>
      <c r="B98" s="18">
        <v>45023</v>
      </c>
      <c r="C98" s="6" t="s">
        <v>116</v>
      </c>
      <c r="D98" s="6" t="s">
        <v>1</v>
      </c>
      <c r="E98" s="6" t="s">
        <v>14</v>
      </c>
      <c r="F98" s="6">
        <v>34</v>
      </c>
      <c r="G98" s="6" t="s">
        <v>15</v>
      </c>
      <c r="H98" s="6">
        <v>2</v>
      </c>
      <c r="I98" s="6">
        <v>397</v>
      </c>
      <c r="J98" s="11">
        <v>794</v>
      </c>
      <c r="M98" s="6" t="str" cm="1">
        <f t="array" ref="M98">_xlfn.IFS(J98&lt;=500,"Low",J98&gt;=1500,"Mid",J98&lt;=1500,"High",TRUE,"no")</f>
        <v>High</v>
      </c>
      <c r="N98" s="6">
        <f t="shared" si="2"/>
        <v>1</v>
      </c>
      <c r="O98" s="6" t="str">
        <f t="shared" si="3"/>
        <v>Charlie</v>
      </c>
    </row>
    <row r="99" spans="1:15" x14ac:dyDescent="0.3">
      <c r="A99" s="10">
        <v>98</v>
      </c>
      <c r="B99" s="18">
        <v>45024</v>
      </c>
      <c r="C99" s="6" t="s">
        <v>117</v>
      </c>
      <c r="D99" s="6" t="s">
        <v>2</v>
      </c>
      <c r="E99" s="6" t="s">
        <v>14</v>
      </c>
      <c r="F99" s="6">
        <v>37</v>
      </c>
      <c r="G99" s="6" t="s">
        <v>20</v>
      </c>
      <c r="H99" s="6">
        <v>3</v>
      </c>
      <c r="I99" s="6">
        <v>395</v>
      </c>
      <c r="J99" s="11">
        <v>1185</v>
      </c>
      <c r="M99" s="6" t="str" cm="1">
        <f t="array" ref="M99">_xlfn.IFS(J99&lt;=500,"Low",J99&gt;=1500,"Mid",J99&lt;=1500,"High",TRUE,"no")</f>
        <v>High</v>
      </c>
      <c r="N99" s="6">
        <f t="shared" si="2"/>
        <v>2</v>
      </c>
      <c r="O99" s="6" t="str">
        <f t="shared" si="3"/>
        <v>Diana</v>
      </c>
    </row>
    <row r="100" spans="1:15" x14ac:dyDescent="0.3">
      <c r="A100" s="10">
        <v>99</v>
      </c>
      <c r="B100" s="18">
        <v>45025</v>
      </c>
      <c r="C100" s="6" t="s">
        <v>118</v>
      </c>
      <c r="D100" s="6" t="s">
        <v>4</v>
      </c>
      <c r="E100" s="6" t="s">
        <v>19</v>
      </c>
      <c r="F100" s="6">
        <v>25</v>
      </c>
      <c r="G100" s="6" t="s">
        <v>15</v>
      </c>
      <c r="H100" s="6">
        <v>2</v>
      </c>
      <c r="I100" s="6">
        <v>67</v>
      </c>
      <c r="J100" s="11">
        <v>134</v>
      </c>
      <c r="M100" s="6" t="str" cm="1">
        <f t="array" ref="M100">_xlfn.IFS(J100&lt;=500,"Low",J100&gt;=1500,"Mid",J100&lt;=1500,"High",TRUE,"no")</f>
        <v>Low</v>
      </c>
      <c r="N100" s="6">
        <f t="shared" si="2"/>
        <v>10</v>
      </c>
      <c r="O100" s="6" t="str">
        <f t="shared" si="3"/>
        <v>Alice</v>
      </c>
    </row>
    <row r="101" spans="1:15" x14ac:dyDescent="0.3">
      <c r="A101" s="10">
        <v>100</v>
      </c>
      <c r="B101" s="18">
        <v>45026</v>
      </c>
      <c r="C101" s="6" t="s">
        <v>119</v>
      </c>
      <c r="D101" s="6" t="s">
        <v>2</v>
      </c>
      <c r="E101" s="6" t="s">
        <v>19</v>
      </c>
      <c r="F101" s="6">
        <v>43</v>
      </c>
      <c r="G101" s="6" t="s">
        <v>15</v>
      </c>
      <c r="H101" s="6">
        <v>5</v>
      </c>
      <c r="I101" s="6">
        <v>482</v>
      </c>
      <c r="J101" s="11">
        <v>2410</v>
      </c>
      <c r="M101" s="6" t="str" cm="1">
        <f t="array" ref="M101">_xlfn.IFS(J101&lt;=500,"Low",J101&gt;=1500,"Mid",J101&lt;=1500,"High",TRUE,"no")</f>
        <v>Mid</v>
      </c>
      <c r="N101" s="6">
        <f t="shared" si="2"/>
        <v>2</v>
      </c>
      <c r="O101" s="6" t="str">
        <f t="shared" si="3"/>
        <v>Diana</v>
      </c>
    </row>
    <row r="102" spans="1:15" x14ac:dyDescent="0.3">
      <c r="A102" s="10">
        <v>101</v>
      </c>
      <c r="B102" s="18">
        <v>45027</v>
      </c>
      <c r="C102" s="6" t="s">
        <v>120</v>
      </c>
      <c r="D102" s="6" t="s">
        <v>3</v>
      </c>
      <c r="E102" s="6" t="s">
        <v>19</v>
      </c>
      <c r="F102" s="6">
        <v>23</v>
      </c>
      <c r="G102" s="6" t="s">
        <v>23</v>
      </c>
      <c r="H102" s="6">
        <v>2</v>
      </c>
      <c r="I102" s="6">
        <v>439</v>
      </c>
      <c r="J102" s="11">
        <v>878</v>
      </c>
      <c r="M102" s="6" t="str" cm="1">
        <f t="array" ref="M102">_xlfn.IFS(J102&lt;=500,"Low",J102&gt;=1500,"Mid",J102&lt;=1500,"High",TRUE,"no")</f>
        <v>High</v>
      </c>
      <c r="N102" s="6">
        <f t="shared" si="2"/>
        <v>7</v>
      </c>
      <c r="O102" s="6" t="str">
        <f t="shared" si="3"/>
        <v>Bob</v>
      </c>
    </row>
    <row r="103" spans="1:15" x14ac:dyDescent="0.3">
      <c r="A103" s="10">
        <v>102</v>
      </c>
      <c r="B103" s="18">
        <v>45028</v>
      </c>
      <c r="C103" s="6" t="s">
        <v>121</v>
      </c>
      <c r="D103" s="6" t="s">
        <v>4</v>
      </c>
      <c r="E103" s="6" t="s">
        <v>14</v>
      </c>
      <c r="F103" s="6">
        <v>44</v>
      </c>
      <c r="G103" s="6" t="s">
        <v>23</v>
      </c>
      <c r="H103" s="6">
        <v>5</v>
      </c>
      <c r="I103" s="6">
        <v>245</v>
      </c>
      <c r="J103" s="11">
        <v>1225</v>
      </c>
      <c r="M103" s="6" t="str" cm="1">
        <f t="array" ref="M103">_xlfn.IFS(J103&lt;=500,"Low",J103&gt;=1500,"Mid",J103&lt;=1500,"High",TRUE,"no")</f>
        <v>High</v>
      </c>
      <c r="N103" s="6">
        <f t="shared" si="2"/>
        <v>10</v>
      </c>
      <c r="O103" s="6" t="str">
        <f t="shared" si="3"/>
        <v>Alice</v>
      </c>
    </row>
    <row r="104" spans="1:15" x14ac:dyDescent="0.3">
      <c r="A104" s="10">
        <v>103</v>
      </c>
      <c r="B104" s="18">
        <v>45029</v>
      </c>
      <c r="C104" s="6" t="s">
        <v>122</v>
      </c>
      <c r="D104" s="6" t="s">
        <v>2</v>
      </c>
      <c r="E104" s="6" t="s">
        <v>14</v>
      </c>
      <c r="F104" s="6">
        <v>42</v>
      </c>
      <c r="G104" s="6" t="s">
        <v>17</v>
      </c>
      <c r="H104" s="6">
        <v>3</v>
      </c>
      <c r="I104" s="6">
        <v>303</v>
      </c>
      <c r="J104" s="11">
        <v>909</v>
      </c>
      <c r="M104" s="6" t="str" cm="1">
        <f t="array" ref="M104">_xlfn.IFS(J104&lt;=500,"Low",J104&gt;=1500,"Mid",J104&lt;=1500,"High",TRUE,"no")</f>
        <v>High</v>
      </c>
      <c r="N104" s="6">
        <f t="shared" si="2"/>
        <v>2</v>
      </c>
      <c r="O104" s="6" t="str">
        <f t="shared" si="3"/>
        <v>Diana</v>
      </c>
    </row>
    <row r="105" spans="1:15" x14ac:dyDescent="0.3">
      <c r="A105" s="10">
        <v>104</v>
      </c>
      <c r="B105" s="18">
        <v>45030</v>
      </c>
      <c r="C105" s="6" t="s">
        <v>123</v>
      </c>
      <c r="D105" s="6" t="s">
        <v>2</v>
      </c>
      <c r="E105" s="6" t="s">
        <v>14</v>
      </c>
      <c r="F105" s="6">
        <v>36</v>
      </c>
      <c r="G105" s="6" t="s">
        <v>15</v>
      </c>
      <c r="H105" s="6">
        <v>4</v>
      </c>
      <c r="I105" s="6">
        <v>175</v>
      </c>
      <c r="J105" s="11">
        <v>700</v>
      </c>
      <c r="M105" s="6" t="str" cm="1">
        <f t="array" ref="M105">_xlfn.IFS(J105&lt;=500,"Low",J105&gt;=1500,"Mid",J105&lt;=1500,"High",TRUE,"no")</f>
        <v>High</v>
      </c>
      <c r="N105" s="6">
        <f t="shared" si="2"/>
        <v>2</v>
      </c>
      <c r="O105" s="6" t="str">
        <f t="shared" si="3"/>
        <v>Diana</v>
      </c>
    </row>
    <row r="106" spans="1:15" x14ac:dyDescent="0.3">
      <c r="A106" s="10">
        <v>105</v>
      </c>
      <c r="B106" s="18">
        <v>45031</v>
      </c>
      <c r="C106" s="6" t="s">
        <v>124</v>
      </c>
      <c r="D106" s="6" t="s">
        <v>2</v>
      </c>
      <c r="E106" s="6" t="s">
        <v>19</v>
      </c>
      <c r="F106" s="6">
        <v>42</v>
      </c>
      <c r="G106" s="6" t="s">
        <v>27</v>
      </c>
      <c r="H106" s="6">
        <v>5</v>
      </c>
      <c r="I106" s="6">
        <v>406</v>
      </c>
      <c r="J106" s="11">
        <v>2030</v>
      </c>
      <c r="M106" s="6" t="str" cm="1">
        <f t="array" ref="M106">_xlfn.IFS(J106&lt;=500,"Low",J106&gt;=1500,"Mid",J106&lt;=1500,"High",TRUE,"no")</f>
        <v>Mid</v>
      </c>
      <c r="N106" s="6">
        <f t="shared" si="2"/>
        <v>2</v>
      </c>
      <c r="O106" s="6" t="str">
        <f t="shared" si="3"/>
        <v>Diana</v>
      </c>
    </row>
    <row r="107" spans="1:15" x14ac:dyDescent="0.3">
      <c r="A107" s="10">
        <v>106</v>
      </c>
      <c r="B107" s="18">
        <v>45032</v>
      </c>
      <c r="C107" s="6" t="s">
        <v>125</v>
      </c>
      <c r="D107" s="6" t="s">
        <v>2</v>
      </c>
      <c r="E107" s="6" t="s">
        <v>14</v>
      </c>
      <c r="F107" s="6">
        <v>37</v>
      </c>
      <c r="G107" s="6" t="s">
        <v>15</v>
      </c>
      <c r="H107" s="6">
        <v>4</v>
      </c>
      <c r="I107" s="6">
        <v>497</v>
      </c>
      <c r="J107" s="11">
        <v>1988</v>
      </c>
      <c r="M107" s="6" t="str" cm="1">
        <f t="array" ref="M107">_xlfn.IFS(J107&lt;=500,"Low",J107&gt;=1500,"Mid",J107&lt;=1500,"High",TRUE,"no")</f>
        <v>Mid</v>
      </c>
      <c r="N107" s="6">
        <f t="shared" si="2"/>
        <v>2</v>
      </c>
      <c r="O107" s="6" t="str">
        <f t="shared" si="3"/>
        <v>Diana</v>
      </c>
    </row>
    <row r="108" spans="1:15" x14ac:dyDescent="0.3">
      <c r="A108" s="10">
        <v>107</v>
      </c>
      <c r="B108" s="18">
        <v>45033</v>
      </c>
      <c r="C108" s="6" t="s">
        <v>126</v>
      </c>
      <c r="D108" s="6" t="s">
        <v>4</v>
      </c>
      <c r="E108" s="6" t="s">
        <v>14</v>
      </c>
      <c r="F108" s="6">
        <v>19</v>
      </c>
      <c r="G108" s="6" t="s">
        <v>20</v>
      </c>
      <c r="H108" s="6">
        <v>3</v>
      </c>
      <c r="I108" s="6">
        <v>99</v>
      </c>
      <c r="J108" s="11">
        <v>297</v>
      </c>
      <c r="M108" s="6" t="str" cm="1">
        <f t="array" ref="M108">_xlfn.IFS(J108&lt;=500,"Low",J108&gt;=1500,"Mid",J108&lt;=1500,"High",TRUE,"no")</f>
        <v>Low</v>
      </c>
      <c r="N108" s="6">
        <f t="shared" si="2"/>
        <v>10</v>
      </c>
      <c r="O108" s="6" t="str">
        <f t="shared" si="3"/>
        <v>Alice</v>
      </c>
    </row>
    <row r="109" spans="1:15" x14ac:dyDescent="0.3">
      <c r="A109" s="10">
        <v>108</v>
      </c>
      <c r="B109" s="18">
        <v>45034</v>
      </c>
      <c r="C109" s="6" t="s">
        <v>127</v>
      </c>
      <c r="D109" s="6" t="s">
        <v>3</v>
      </c>
      <c r="E109" s="6" t="s">
        <v>14</v>
      </c>
      <c r="F109" s="6">
        <v>41</v>
      </c>
      <c r="G109" s="6" t="s">
        <v>15</v>
      </c>
      <c r="H109" s="6">
        <v>4</v>
      </c>
      <c r="I109" s="6">
        <v>186</v>
      </c>
      <c r="J109" s="11">
        <v>744</v>
      </c>
      <c r="M109" s="6" t="str" cm="1">
        <f t="array" ref="M109">_xlfn.IFS(J109&lt;=500,"Low",J109&gt;=1500,"Mid",J109&lt;=1500,"High",TRUE,"no")</f>
        <v>High</v>
      </c>
      <c r="N109" s="6">
        <f t="shared" si="2"/>
        <v>7</v>
      </c>
      <c r="O109" s="6" t="str">
        <f t="shared" si="3"/>
        <v>Bob</v>
      </c>
    </row>
    <row r="110" spans="1:15" x14ac:dyDescent="0.3">
      <c r="A110" s="10">
        <v>109</v>
      </c>
      <c r="B110" s="18">
        <v>45035</v>
      </c>
      <c r="C110" s="6" t="s">
        <v>128</v>
      </c>
      <c r="D110" s="6" t="s">
        <v>2</v>
      </c>
      <c r="E110" s="6" t="s">
        <v>14</v>
      </c>
      <c r="F110" s="6">
        <v>50</v>
      </c>
      <c r="G110" s="6" t="s">
        <v>20</v>
      </c>
      <c r="H110" s="6">
        <v>1</v>
      </c>
      <c r="I110" s="6">
        <v>157</v>
      </c>
      <c r="J110" s="11">
        <v>157</v>
      </c>
      <c r="M110" s="6" t="str" cm="1">
        <f t="array" ref="M110">_xlfn.IFS(J110&lt;=500,"Low",J110&gt;=1500,"Mid",J110&lt;=1500,"High",TRUE,"no")</f>
        <v>Low</v>
      </c>
      <c r="N110" s="6">
        <f t="shared" si="2"/>
        <v>2</v>
      </c>
      <c r="O110" s="6" t="str">
        <f t="shared" si="3"/>
        <v>Diana</v>
      </c>
    </row>
    <row r="111" spans="1:15" x14ac:dyDescent="0.3">
      <c r="A111" s="10">
        <v>110</v>
      </c>
      <c r="B111" s="18">
        <v>45036</v>
      </c>
      <c r="C111" s="6" t="s">
        <v>129</v>
      </c>
      <c r="D111" s="6" t="s">
        <v>4</v>
      </c>
      <c r="E111" s="6" t="s">
        <v>19</v>
      </c>
      <c r="F111" s="6">
        <v>45</v>
      </c>
      <c r="G111" s="6" t="s">
        <v>27</v>
      </c>
      <c r="H111" s="6">
        <v>1</v>
      </c>
      <c r="I111" s="6">
        <v>440</v>
      </c>
      <c r="J111" s="11">
        <v>440</v>
      </c>
      <c r="M111" s="6" t="str" cm="1">
        <f t="array" ref="M111">_xlfn.IFS(J111&lt;=500,"Low",J111&gt;=1500,"Mid",J111&lt;=1500,"High",TRUE,"no")</f>
        <v>Low</v>
      </c>
      <c r="N111" s="6">
        <f t="shared" si="2"/>
        <v>10</v>
      </c>
      <c r="O111" s="6" t="str">
        <f t="shared" si="3"/>
        <v>Alice</v>
      </c>
    </row>
    <row r="112" spans="1:15" x14ac:dyDescent="0.3">
      <c r="A112" s="10">
        <v>111</v>
      </c>
      <c r="B112" s="18">
        <v>45037</v>
      </c>
      <c r="C112" s="6" t="s">
        <v>130</v>
      </c>
      <c r="D112" s="6" t="s">
        <v>3</v>
      </c>
      <c r="E112" s="6" t="s">
        <v>19</v>
      </c>
      <c r="F112" s="6">
        <v>22</v>
      </c>
      <c r="G112" s="6" t="s">
        <v>15</v>
      </c>
      <c r="H112" s="6">
        <v>1</v>
      </c>
      <c r="I112" s="6">
        <v>85</v>
      </c>
      <c r="J112" s="11">
        <v>85</v>
      </c>
      <c r="M112" s="6" t="str" cm="1">
        <f t="array" ref="M112">_xlfn.IFS(J112&lt;=500,"Low",J112&gt;=1500,"Mid",J112&lt;=1500,"High",TRUE,"no")</f>
        <v>Low</v>
      </c>
      <c r="N112" s="6">
        <f t="shared" si="2"/>
        <v>7</v>
      </c>
      <c r="O112" s="6" t="str">
        <f t="shared" si="3"/>
        <v>Bob</v>
      </c>
    </row>
    <row r="113" spans="1:15" x14ac:dyDescent="0.3">
      <c r="A113" s="10">
        <v>112</v>
      </c>
      <c r="B113" s="18">
        <v>45038</v>
      </c>
      <c r="C113" s="6" t="s">
        <v>131</v>
      </c>
      <c r="D113" s="6" t="s">
        <v>2</v>
      </c>
      <c r="E113" s="6" t="s">
        <v>19</v>
      </c>
      <c r="F113" s="6">
        <v>41</v>
      </c>
      <c r="G113" s="6" t="s">
        <v>15</v>
      </c>
      <c r="H113" s="6">
        <v>3</v>
      </c>
      <c r="I113" s="6">
        <v>295</v>
      </c>
      <c r="J113" s="11">
        <v>885</v>
      </c>
      <c r="M113" s="6" t="str" cm="1">
        <f t="array" ref="M113">_xlfn.IFS(J113&lt;=500,"Low",J113&gt;=1500,"Mid",J113&lt;=1500,"High",TRUE,"no")</f>
        <v>High</v>
      </c>
      <c r="N113" s="6">
        <f t="shared" si="2"/>
        <v>2</v>
      </c>
      <c r="O113" s="6" t="str">
        <f t="shared" si="3"/>
        <v>Diana</v>
      </c>
    </row>
    <row r="114" spans="1:15" x14ac:dyDescent="0.3">
      <c r="A114" s="10">
        <v>113</v>
      </c>
      <c r="B114" s="18">
        <v>45039</v>
      </c>
      <c r="C114" s="6" t="s">
        <v>132</v>
      </c>
      <c r="D114" s="6" t="s">
        <v>3</v>
      </c>
      <c r="E114" s="6" t="s">
        <v>19</v>
      </c>
      <c r="F114" s="6">
        <v>25</v>
      </c>
      <c r="G114" s="6" t="s">
        <v>23</v>
      </c>
      <c r="H114" s="6">
        <v>2</v>
      </c>
      <c r="I114" s="6">
        <v>366</v>
      </c>
      <c r="J114" s="11">
        <v>732</v>
      </c>
      <c r="M114" s="6" t="str" cm="1">
        <f t="array" ref="M114">_xlfn.IFS(J114&lt;=500,"Low",J114&gt;=1500,"Mid",J114&lt;=1500,"High",TRUE,"no")</f>
        <v>High</v>
      </c>
      <c r="N114" s="6">
        <f t="shared" si="2"/>
        <v>7</v>
      </c>
      <c r="O114" s="6" t="str">
        <f t="shared" si="3"/>
        <v>Bob</v>
      </c>
    </row>
    <row r="115" spans="1:15" x14ac:dyDescent="0.3">
      <c r="A115" s="10">
        <v>114</v>
      </c>
      <c r="B115" s="18">
        <v>45040</v>
      </c>
      <c r="C115" s="6" t="s">
        <v>133</v>
      </c>
      <c r="D115" s="6" t="s">
        <v>3</v>
      </c>
      <c r="E115" s="6" t="s">
        <v>19</v>
      </c>
      <c r="F115" s="6">
        <v>38</v>
      </c>
      <c r="G115" s="6" t="s">
        <v>27</v>
      </c>
      <c r="H115" s="6">
        <v>2</v>
      </c>
      <c r="I115" s="6">
        <v>419</v>
      </c>
      <c r="J115" s="11">
        <v>838</v>
      </c>
      <c r="M115" s="6" t="str" cm="1">
        <f t="array" ref="M115">_xlfn.IFS(J115&lt;=500,"Low",J115&gt;=1500,"Mid",J115&lt;=1500,"High",TRUE,"no")</f>
        <v>High</v>
      </c>
      <c r="N115" s="6">
        <f t="shared" si="2"/>
        <v>7</v>
      </c>
      <c r="O115" s="6" t="str">
        <f t="shared" si="3"/>
        <v>Bob</v>
      </c>
    </row>
    <row r="116" spans="1:15" x14ac:dyDescent="0.3">
      <c r="A116" s="10">
        <v>115</v>
      </c>
      <c r="B116" s="18">
        <v>45041</v>
      </c>
      <c r="C116" s="6" t="s">
        <v>134</v>
      </c>
      <c r="D116" s="6" t="s">
        <v>4</v>
      </c>
      <c r="E116" s="6" t="s">
        <v>14</v>
      </c>
      <c r="F116" s="6">
        <v>31</v>
      </c>
      <c r="G116" s="6" t="s">
        <v>17</v>
      </c>
      <c r="H116" s="6">
        <v>4</v>
      </c>
      <c r="I116" s="6">
        <v>28</v>
      </c>
      <c r="J116" s="11">
        <v>112</v>
      </c>
      <c r="M116" s="6" t="str" cm="1">
        <f t="array" ref="M116">_xlfn.IFS(J116&lt;=500,"Low",J116&gt;=1500,"Mid",J116&lt;=1500,"High",TRUE,"no")</f>
        <v>Low</v>
      </c>
      <c r="N116" s="6">
        <f t="shared" si="2"/>
        <v>10</v>
      </c>
      <c r="O116" s="6" t="str">
        <f t="shared" si="3"/>
        <v>Alice</v>
      </c>
    </row>
    <row r="117" spans="1:15" x14ac:dyDescent="0.3">
      <c r="A117" s="10">
        <v>116</v>
      </c>
      <c r="B117" s="18">
        <v>45042</v>
      </c>
      <c r="C117" s="6" t="s">
        <v>135</v>
      </c>
      <c r="D117" s="6" t="s">
        <v>3</v>
      </c>
      <c r="E117" s="6" t="s">
        <v>19</v>
      </c>
      <c r="F117" s="6">
        <v>20</v>
      </c>
      <c r="G117" s="6" t="s">
        <v>23</v>
      </c>
      <c r="H117" s="6">
        <v>3</v>
      </c>
      <c r="I117" s="6">
        <v>268</v>
      </c>
      <c r="J117" s="11">
        <v>804</v>
      </c>
      <c r="M117" s="6" t="str" cm="1">
        <f t="array" ref="M117">_xlfn.IFS(J117&lt;=500,"Low",J117&gt;=1500,"Mid",J117&lt;=1500,"High",TRUE,"no")</f>
        <v>High</v>
      </c>
      <c r="N117" s="6">
        <f t="shared" si="2"/>
        <v>7</v>
      </c>
      <c r="O117" s="6" t="str">
        <f t="shared" si="3"/>
        <v>Bob</v>
      </c>
    </row>
    <row r="118" spans="1:15" x14ac:dyDescent="0.3">
      <c r="A118" s="10">
        <v>117</v>
      </c>
      <c r="B118" s="18">
        <v>45043</v>
      </c>
      <c r="C118" s="6" t="s">
        <v>136</v>
      </c>
      <c r="D118" s="6" t="s">
        <v>4</v>
      </c>
      <c r="E118" s="6" t="s">
        <v>19</v>
      </c>
      <c r="F118" s="6">
        <v>18</v>
      </c>
      <c r="G118" s="6" t="s">
        <v>20</v>
      </c>
      <c r="H118" s="6">
        <v>4</v>
      </c>
      <c r="I118" s="6">
        <v>434</v>
      </c>
      <c r="J118" s="11">
        <v>1736</v>
      </c>
      <c r="M118" s="6" t="str" cm="1">
        <f t="array" ref="M118">_xlfn.IFS(J118&lt;=500,"Low",J118&gt;=1500,"Mid",J118&lt;=1500,"High",TRUE,"no")</f>
        <v>Mid</v>
      </c>
      <c r="N118" s="6">
        <f t="shared" si="2"/>
        <v>10</v>
      </c>
      <c r="O118" s="6" t="str">
        <f t="shared" si="3"/>
        <v>Alice</v>
      </c>
    </row>
    <row r="119" spans="1:15" x14ac:dyDescent="0.3">
      <c r="A119" s="10">
        <v>118</v>
      </c>
      <c r="B119" s="18">
        <v>45044</v>
      </c>
      <c r="C119" s="6" t="s">
        <v>137</v>
      </c>
      <c r="D119" s="6" t="s">
        <v>2</v>
      </c>
      <c r="E119" s="6" t="s">
        <v>19</v>
      </c>
      <c r="F119" s="6">
        <v>53</v>
      </c>
      <c r="G119" s="6" t="s">
        <v>15</v>
      </c>
      <c r="H119" s="6">
        <v>3</v>
      </c>
      <c r="I119" s="6">
        <v>85</v>
      </c>
      <c r="J119" s="11">
        <v>255</v>
      </c>
      <c r="M119" s="6" t="str" cm="1">
        <f t="array" ref="M119">_xlfn.IFS(J119&lt;=500,"Low",J119&gt;=1500,"Mid",J119&lt;=1500,"High",TRUE,"no")</f>
        <v>Low</v>
      </c>
      <c r="N119" s="6">
        <f t="shared" si="2"/>
        <v>2</v>
      </c>
      <c r="O119" s="6" t="str">
        <f t="shared" si="3"/>
        <v>Diana</v>
      </c>
    </row>
    <row r="120" spans="1:15" x14ac:dyDescent="0.3">
      <c r="A120" s="10">
        <v>119</v>
      </c>
      <c r="B120" s="18">
        <v>45045</v>
      </c>
      <c r="C120" s="6" t="s">
        <v>138</v>
      </c>
      <c r="D120" s="6" t="s">
        <v>3</v>
      </c>
      <c r="E120" s="6" t="s">
        <v>19</v>
      </c>
      <c r="F120" s="6">
        <v>34</v>
      </c>
      <c r="G120" s="6" t="s">
        <v>15</v>
      </c>
      <c r="H120" s="6">
        <v>3</v>
      </c>
      <c r="I120" s="6">
        <v>121</v>
      </c>
      <c r="J120" s="11">
        <v>363</v>
      </c>
      <c r="M120" s="6" t="str" cm="1">
        <f t="array" ref="M120">_xlfn.IFS(J120&lt;=500,"Low",J120&gt;=1500,"Mid",J120&lt;=1500,"High",TRUE,"no")</f>
        <v>Low</v>
      </c>
      <c r="N120" s="6">
        <f t="shared" si="2"/>
        <v>7</v>
      </c>
      <c r="O120" s="6" t="str">
        <f t="shared" si="3"/>
        <v>Bob</v>
      </c>
    </row>
    <row r="121" spans="1:15" x14ac:dyDescent="0.3">
      <c r="A121" s="10">
        <v>120</v>
      </c>
      <c r="B121" s="18">
        <v>45046</v>
      </c>
      <c r="C121" s="6" t="s">
        <v>139</v>
      </c>
      <c r="D121" s="6" t="s">
        <v>3</v>
      </c>
      <c r="E121" s="6" t="s">
        <v>19</v>
      </c>
      <c r="F121" s="6">
        <v>53</v>
      </c>
      <c r="G121" s="6" t="s">
        <v>27</v>
      </c>
      <c r="H121" s="6">
        <v>1</v>
      </c>
      <c r="I121" s="6">
        <v>275</v>
      </c>
      <c r="J121" s="11">
        <v>275</v>
      </c>
      <c r="M121" s="6" t="str" cm="1">
        <f t="array" ref="M121">_xlfn.IFS(J121&lt;=500,"Low",J121&gt;=1500,"Mid",J121&lt;=1500,"High",TRUE,"no")</f>
        <v>Low</v>
      </c>
      <c r="N121" s="6">
        <f t="shared" si="2"/>
        <v>7</v>
      </c>
      <c r="O121" s="6" t="str">
        <f t="shared" si="3"/>
        <v>Bob</v>
      </c>
    </row>
    <row r="122" spans="1:15" x14ac:dyDescent="0.3">
      <c r="A122" s="10">
        <v>121</v>
      </c>
      <c r="B122" s="18">
        <v>45047</v>
      </c>
      <c r="C122" s="6" t="s">
        <v>140</v>
      </c>
      <c r="D122" s="6" t="s">
        <v>1</v>
      </c>
      <c r="E122" s="6" t="s">
        <v>14</v>
      </c>
      <c r="F122" s="6">
        <v>43</v>
      </c>
      <c r="G122" s="6" t="s">
        <v>15</v>
      </c>
      <c r="H122" s="6">
        <v>2</v>
      </c>
      <c r="I122" s="6">
        <v>160</v>
      </c>
      <c r="J122" s="11">
        <v>320</v>
      </c>
      <c r="M122" s="6" t="str" cm="1">
        <f t="array" ref="M122">_xlfn.IFS(J122&lt;=500,"Low",J122&gt;=1500,"Mid",J122&lt;=1500,"High",TRUE,"no")</f>
        <v>Low</v>
      </c>
      <c r="N122" s="6">
        <f t="shared" si="2"/>
        <v>1</v>
      </c>
      <c r="O122" s="6" t="str">
        <f t="shared" si="3"/>
        <v>Charlie</v>
      </c>
    </row>
    <row r="123" spans="1:15" x14ac:dyDescent="0.3">
      <c r="A123" s="10">
        <v>122</v>
      </c>
      <c r="B123" s="18">
        <v>45048</v>
      </c>
      <c r="C123" s="6" t="s">
        <v>141</v>
      </c>
      <c r="D123" s="6" t="s">
        <v>2</v>
      </c>
      <c r="E123" s="6" t="s">
        <v>19</v>
      </c>
      <c r="F123" s="6">
        <v>54</v>
      </c>
      <c r="G123" s="6" t="s">
        <v>15</v>
      </c>
      <c r="H123" s="6">
        <v>5</v>
      </c>
      <c r="I123" s="6">
        <v>439</v>
      </c>
      <c r="J123" s="11">
        <v>2195</v>
      </c>
      <c r="M123" s="6" t="str" cm="1">
        <f t="array" ref="M123">_xlfn.IFS(J123&lt;=500,"Low",J123&gt;=1500,"Mid",J123&lt;=1500,"High",TRUE,"no")</f>
        <v>Mid</v>
      </c>
      <c r="N123" s="6">
        <f t="shared" si="2"/>
        <v>2</v>
      </c>
      <c r="O123" s="6" t="str">
        <f t="shared" si="3"/>
        <v>Diana</v>
      </c>
    </row>
    <row r="124" spans="1:15" x14ac:dyDescent="0.3">
      <c r="A124" s="10">
        <v>123</v>
      </c>
      <c r="B124" s="18">
        <v>45049</v>
      </c>
      <c r="C124" s="6" t="s">
        <v>142</v>
      </c>
      <c r="D124" s="6" t="s">
        <v>2</v>
      </c>
      <c r="E124" s="6" t="s">
        <v>14</v>
      </c>
      <c r="F124" s="6">
        <v>28</v>
      </c>
      <c r="G124" s="6" t="s">
        <v>27</v>
      </c>
      <c r="H124" s="6">
        <v>1</v>
      </c>
      <c r="I124" s="6">
        <v>243</v>
      </c>
      <c r="J124" s="11">
        <v>243</v>
      </c>
      <c r="M124" s="6" t="str" cm="1">
        <f t="array" ref="M124">_xlfn.IFS(J124&lt;=500,"Low",J124&gt;=1500,"Mid",J124&lt;=1500,"High",TRUE,"no")</f>
        <v>Low</v>
      </c>
      <c r="N124" s="6">
        <f t="shared" si="2"/>
        <v>2</v>
      </c>
      <c r="O124" s="6" t="str">
        <f t="shared" si="3"/>
        <v>Diana</v>
      </c>
    </row>
    <row r="125" spans="1:15" x14ac:dyDescent="0.3">
      <c r="A125" s="10">
        <v>124</v>
      </c>
      <c r="B125" s="18">
        <v>45050</v>
      </c>
      <c r="C125" s="6" t="s">
        <v>143</v>
      </c>
      <c r="D125" s="6" t="s">
        <v>1</v>
      </c>
      <c r="E125" s="6" t="s">
        <v>14</v>
      </c>
      <c r="F125" s="6">
        <v>34</v>
      </c>
      <c r="G125" s="6" t="s">
        <v>17</v>
      </c>
      <c r="H125" s="6">
        <v>1</v>
      </c>
      <c r="I125" s="6">
        <v>460</v>
      </c>
      <c r="J125" s="11">
        <v>460</v>
      </c>
      <c r="M125" s="6" t="str" cm="1">
        <f t="array" ref="M125">_xlfn.IFS(J125&lt;=500,"Low",J125&gt;=1500,"Mid",J125&lt;=1500,"High",TRUE,"no")</f>
        <v>Low</v>
      </c>
      <c r="N125" s="6">
        <f t="shared" si="2"/>
        <v>1</v>
      </c>
      <c r="O125" s="6" t="str">
        <f t="shared" si="3"/>
        <v>Charlie</v>
      </c>
    </row>
    <row r="126" spans="1:15" x14ac:dyDescent="0.3">
      <c r="A126" s="10">
        <v>125</v>
      </c>
      <c r="B126" s="18">
        <v>45051</v>
      </c>
      <c r="C126" s="6" t="s">
        <v>144</v>
      </c>
      <c r="D126" s="6" t="s">
        <v>1</v>
      </c>
      <c r="E126" s="6" t="s">
        <v>14</v>
      </c>
      <c r="F126" s="6">
        <v>52</v>
      </c>
      <c r="G126" s="6" t="s">
        <v>17</v>
      </c>
      <c r="H126" s="6">
        <v>1</v>
      </c>
      <c r="I126" s="6">
        <v>418</v>
      </c>
      <c r="J126" s="11">
        <v>418</v>
      </c>
      <c r="M126" s="6" t="str" cm="1">
        <f t="array" ref="M126">_xlfn.IFS(J126&lt;=500,"Low",J126&gt;=1500,"Mid",J126&lt;=1500,"High",TRUE,"no")</f>
        <v>Low</v>
      </c>
      <c r="N126" s="6">
        <f t="shared" si="2"/>
        <v>1</v>
      </c>
      <c r="O126" s="6" t="str">
        <f t="shared" si="3"/>
        <v>Charlie</v>
      </c>
    </row>
    <row r="127" spans="1:15" x14ac:dyDescent="0.3">
      <c r="A127" s="10">
        <v>126</v>
      </c>
      <c r="B127" s="18">
        <v>45052</v>
      </c>
      <c r="C127" s="6" t="s">
        <v>145</v>
      </c>
      <c r="D127" s="6" t="s">
        <v>4</v>
      </c>
      <c r="E127" s="6" t="s">
        <v>14</v>
      </c>
      <c r="F127" s="6">
        <v>52</v>
      </c>
      <c r="G127" s="6" t="s">
        <v>15</v>
      </c>
      <c r="H127" s="6">
        <v>4</v>
      </c>
      <c r="I127" s="6">
        <v>325</v>
      </c>
      <c r="J127" s="11">
        <v>1300</v>
      </c>
      <c r="M127" s="6" t="str" cm="1">
        <f t="array" ref="M127">_xlfn.IFS(J127&lt;=500,"Low",J127&gt;=1500,"Mid",J127&lt;=1500,"High",TRUE,"no")</f>
        <v>High</v>
      </c>
      <c r="N127" s="6">
        <f t="shared" si="2"/>
        <v>10</v>
      </c>
      <c r="O127" s="6" t="str">
        <f t="shared" si="3"/>
        <v>Alice</v>
      </c>
    </row>
    <row r="128" spans="1:15" x14ac:dyDescent="0.3">
      <c r="A128" s="10">
        <v>127</v>
      </c>
      <c r="B128" s="18">
        <v>45053</v>
      </c>
      <c r="C128" s="6" t="s">
        <v>146</v>
      </c>
      <c r="D128" s="6" t="s">
        <v>4</v>
      </c>
      <c r="E128" s="6" t="s">
        <v>19</v>
      </c>
      <c r="F128" s="6">
        <v>36</v>
      </c>
      <c r="G128" s="6" t="s">
        <v>27</v>
      </c>
      <c r="H128" s="6">
        <v>4</v>
      </c>
      <c r="I128" s="6">
        <v>455</v>
      </c>
      <c r="J128" s="11">
        <v>1820</v>
      </c>
      <c r="M128" s="6" t="str" cm="1">
        <f t="array" ref="M128">_xlfn.IFS(J128&lt;=500,"Low",J128&gt;=1500,"Mid",J128&lt;=1500,"High",TRUE,"no")</f>
        <v>Mid</v>
      </c>
      <c r="N128" s="6">
        <f t="shared" si="2"/>
        <v>10</v>
      </c>
      <c r="O128" s="6" t="str">
        <f t="shared" si="3"/>
        <v>Alice</v>
      </c>
    </row>
    <row r="129" spans="1:15" x14ac:dyDescent="0.3">
      <c r="A129" s="10">
        <v>128</v>
      </c>
      <c r="B129" s="18">
        <v>45054</v>
      </c>
      <c r="C129" s="6" t="s">
        <v>147</v>
      </c>
      <c r="D129" s="6" t="s">
        <v>3</v>
      </c>
      <c r="E129" s="6" t="s">
        <v>14</v>
      </c>
      <c r="F129" s="6">
        <v>40</v>
      </c>
      <c r="G129" s="6" t="s">
        <v>20</v>
      </c>
      <c r="H129" s="6">
        <v>4</v>
      </c>
      <c r="I129" s="6">
        <v>152</v>
      </c>
      <c r="J129" s="11">
        <v>608</v>
      </c>
      <c r="M129" s="6" t="str" cm="1">
        <f t="array" ref="M129">_xlfn.IFS(J129&lt;=500,"Low",J129&gt;=1500,"Mid",J129&lt;=1500,"High",TRUE,"no")</f>
        <v>High</v>
      </c>
      <c r="N129" s="6">
        <f t="shared" si="2"/>
        <v>7</v>
      </c>
      <c r="O129" s="6" t="str">
        <f t="shared" si="3"/>
        <v>Bob</v>
      </c>
    </row>
    <row r="130" spans="1:15" x14ac:dyDescent="0.3">
      <c r="A130" s="10">
        <v>129</v>
      </c>
      <c r="B130" s="18">
        <v>45055</v>
      </c>
      <c r="C130" s="6" t="s">
        <v>148</v>
      </c>
      <c r="D130" s="6" t="s">
        <v>3</v>
      </c>
      <c r="E130" s="6" t="s">
        <v>14</v>
      </c>
      <c r="F130" s="6">
        <v>43</v>
      </c>
      <c r="G130" s="6" t="s">
        <v>17</v>
      </c>
      <c r="H130" s="6">
        <v>1</v>
      </c>
      <c r="I130" s="6">
        <v>275</v>
      </c>
      <c r="J130" s="11">
        <v>275</v>
      </c>
      <c r="M130" s="6" t="str" cm="1">
        <f t="array" ref="M130">_xlfn.IFS(J130&lt;=500,"Low",J130&gt;=1500,"Mid",J130&lt;=1500,"High",TRUE,"no")</f>
        <v>Low</v>
      </c>
      <c r="N130" s="6">
        <f t="shared" si="2"/>
        <v>7</v>
      </c>
      <c r="O130" s="6" t="str">
        <f t="shared" si="3"/>
        <v>Bob</v>
      </c>
    </row>
    <row r="131" spans="1:15" x14ac:dyDescent="0.3">
      <c r="A131" s="10">
        <v>130</v>
      </c>
      <c r="B131" s="18">
        <v>45056</v>
      </c>
      <c r="C131" s="6" t="s">
        <v>149</v>
      </c>
      <c r="D131" s="6" t="s">
        <v>3</v>
      </c>
      <c r="E131" s="6" t="s">
        <v>14</v>
      </c>
      <c r="F131" s="6">
        <v>24</v>
      </c>
      <c r="G131" s="6" t="s">
        <v>27</v>
      </c>
      <c r="H131" s="6">
        <v>2</v>
      </c>
      <c r="I131" s="6">
        <v>258</v>
      </c>
      <c r="J131" s="11">
        <v>516</v>
      </c>
      <c r="M131" s="6" t="str" cm="1">
        <f t="array" ref="M131">_xlfn.IFS(J131&lt;=500,"Low",J131&gt;=1500,"Mid",J131&lt;=1500,"High",TRUE,"no")</f>
        <v>High</v>
      </c>
      <c r="N131" s="6">
        <f t="shared" ref="N131:N194" si="4">MATCH(D131,$D$2:$D$1001,0)</f>
        <v>7</v>
      </c>
      <c r="O131" s="6" t="str">
        <f t="shared" ref="O131:O194" si="5">INDEX(D131:D1130,MATCH($D$2,$D$2:$D$1001,0))</f>
        <v>Bob</v>
      </c>
    </row>
    <row r="132" spans="1:15" x14ac:dyDescent="0.3">
      <c r="A132" s="10">
        <v>131</v>
      </c>
      <c r="B132" s="18">
        <v>45057</v>
      </c>
      <c r="C132" s="6" t="s">
        <v>150</v>
      </c>
      <c r="D132" s="6" t="s">
        <v>3</v>
      </c>
      <c r="E132" s="6" t="s">
        <v>14</v>
      </c>
      <c r="F132" s="6">
        <v>43</v>
      </c>
      <c r="G132" s="6" t="s">
        <v>23</v>
      </c>
      <c r="H132" s="6">
        <v>3</v>
      </c>
      <c r="I132" s="6">
        <v>76</v>
      </c>
      <c r="J132" s="11">
        <v>228</v>
      </c>
      <c r="M132" s="6" t="str" cm="1">
        <f t="array" ref="M132">_xlfn.IFS(J132&lt;=500,"Low",J132&gt;=1500,"Mid",J132&lt;=1500,"High",TRUE,"no")</f>
        <v>Low</v>
      </c>
      <c r="N132" s="6">
        <f t="shared" si="4"/>
        <v>7</v>
      </c>
      <c r="O132" s="6" t="str">
        <f t="shared" si="5"/>
        <v>Bob</v>
      </c>
    </row>
    <row r="133" spans="1:15" x14ac:dyDescent="0.3">
      <c r="A133" s="10">
        <v>132</v>
      </c>
      <c r="B133" s="18">
        <v>45058</v>
      </c>
      <c r="C133" s="6" t="s">
        <v>151</v>
      </c>
      <c r="D133" s="6" t="s">
        <v>4</v>
      </c>
      <c r="E133" s="6" t="s">
        <v>14</v>
      </c>
      <c r="F133" s="6">
        <v>28</v>
      </c>
      <c r="G133" s="6" t="s">
        <v>23</v>
      </c>
      <c r="H133" s="6">
        <v>4</v>
      </c>
      <c r="I133" s="6">
        <v>119</v>
      </c>
      <c r="J133" s="11">
        <v>476</v>
      </c>
      <c r="M133" s="6" t="str" cm="1">
        <f t="array" ref="M133">_xlfn.IFS(J133&lt;=500,"Low",J133&gt;=1500,"Mid",J133&lt;=1500,"High",TRUE,"no")</f>
        <v>Low</v>
      </c>
      <c r="N133" s="6">
        <f t="shared" si="4"/>
        <v>10</v>
      </c>
      <c r="O133" s="6" t="str">
        <f t="shared" si="5"/>
        <v>Alice</v>
      </c>
    </row>
    <row r="134" spans="1:15" x14ac:dyDescent="0.3">
      <c r="A134" s="10">
        <v>133</v>
      </c>
      <c r="B134" s="18">
        <v>45059</v>
      </c>
      <c r="C134" s="6" t="s">
        <v>152</v>
      </c>
      <c r="D134" s="6" t="s">
        <v>2</v>
      </c>
      <c r="E134" s="6" t="s">
        <v>14</v>
      </c>
      <c r="F134" s="6">
        <v>18</v>
      </c>
      <c r="G134" s="6" t="s">
        <v>27</v>
      </c>
      <c r="H134" s="6">
        <v>4</v>
      </c>
      <c r="I134" s="6">
        <v>101</v>
      </c>
      <c r="J134" s="11">
        <v>404</v>
      </c>
      <c r="M134" s="6" t="str" cm="1">
        <f t="array" ref="M134">_xlfn.IFS(J134&lt;=500,"Low",J134&gt;=1500,"Mid",J134&lt;=1500,"High",TRUE,"no")</f>
        <v>Low</v>
      </c>
      <c r="N134" s="6">
        <f t="shared" si="4"/>
        <v>2</v>
      </c>
      <c r="O134" s="6" t="str">
        <f t="shared" si="5"/>
        <v>Diana</v>
      </c>
    </row>
    <row r="135" spans="1:15" x14ac:dyDescent="0.3">
      <c r="A135" s="10">
        <v>134</v>
      </c>
      <c r="B135" s="18">
        <v>45060</v>
      </c>
      <c r="C135" s="6" t="s">
        <v>153</v>
      </c>
      <c r="D135" s="6" t="s">
        <v>3</v>
      </c>
      <c r="E135" s="6" t="s">
        <v>19</v>
      </c>
      <c r="F135" s="6">
        <v>56</v>
      </c>
      <c r="G135" s="6" t="s">
        <v>17</v>
      </c>
      <c r="H135" s="6">
        <v>4</v>
      </c>
      <c r="I135" s="6">
        <v>58</v>
      </c>
      <c r="J135" s="11">
        <v>232</v>
      </c>
      <c r="M135" s="6" t="str" cm="1">
        <f t="array" ref="M135">_xlfn.IFS(J135&lt;=500,"Low",J135&gt;=1500,"Mid",J135&lt;=1500,"High",TRUE,"no")</f>
        <v>Low</v>
      </c>
      <c r="N135" s="6">
        <f t="shared" si="4"/>
        <v>7</v>
      </c>
      <c r="O135" s="6" t="str">
        <f t="shared" si="5"/>
        <v>Bob</v>
      </c>
    </row>
    <row r="136" spans="1:15" x14ac:dyDescent="0.3">
      <c r="A136" s="10">
        <v>135</v>
      </c>
      <c r="B136" s="18">
        <v>45061</v>
      </c>
      <c r="C136" s="6" t="s">
        <v>154</v>
      </c>
      <c r="D136" s="6" t="s">
        <v>2</v>
      </c>
      <c r="E136" s="6" t="s">
        <v>19</v>
      </c>
      <c r="F136" s="6">
        <v>19</v>
      </c>
      <c r="G136" s="6" t="s">
        <v>17</v>
      </c>
      <c r="H136" s="6">
        <v>3</v>
      </c>
      <c r="I136" s="6">
        <v>72</v>
      </c>
      <c r="J136" s="11">
        <v>216</v>
      </c>
      <c r="M136" s="6" t="str" cm="1">
        <f t="array" ref="M136">_xlfn.IFS(J136&lt;=500,"Low",J136&gt;=1500,"Mid",J136&lt;=1500,"High",TRUE,"no")</f>
        <v>Low</v>
      </c>
      <c r="N136" s="6">
        <f t="shared" si="4"/>
        <v>2</v>
      </c>
      <c r="O136" s="6" t="str">
        <f t="shared" si="5"/>
        <v>Diana</v>
      </c>
    </row>
    <row r="137" spans="1:15" x14ac:dyDescent="0.3">
      <c r="A137" s="10">
        <v>136</v>
      </c>
      <c r="B137" s="18">
        <v>45062</v>
      </c>
      <c r="C137" s="6" t="s">
        <v>155</v>
      </c>
      <c r="D137" s="6" t="s">
        <v>3</v>
      </c>
      <c r="E137" s="6" t="s">
        <v>19</v>
      </c>
      <c r="F137" s="6">
        <v>22</v>
      </c>
      <c r="G137" s="6" t="s">
        <v>15</v>
      </c>
      <c r="H137" s="6">
        <v>3</v>
      </c>
      <c r="I137" s="6">
        <v>22</v>
      </c>
      <c r="J137" s="11">
        <v>66</v>
      </c>
      <c r="M137" s="6" t="str" cm="1">
        <f t="array" ref="M137">_xlfn.IFS(J137&lt;=500,"Low",J137&gt;=1500,"Mid",J137&lt;=1500,"High",TRUE,"no")</f>
        <v>Low</v>
      </c>
      <c r="N137" s="6">
        <f t="shared" si="4"/>
        <v>7</v>
      </c>
      <c r="O137" s="6" t="str">
        <f t="shared" si="5"/>
        <v>Bob</v>
      </c>
    </row>
    <row r="138" spans="1:15" x14ac:dyDescent="0.3">
      <c r="A138" s="10">
        <v>137</v>
      </c>
      <c r="B138" s="18">
        <v>45063</v>
      </c>
      <c r="C138" s="6" t="s">
        <v>156</v>
      </c>
      <c r="D138" s="6" t="s">
        <v>1</v>
      </c>
      <c r="E138" s="6" t="s">
        <v>19</v>
      </c>
      <c r="F138" s="6">
        <v>57</v>
      </c>
      <c r="G138" s="6" t="s">
        <v>17</v>
      </c>
      <c r="H138" s="6">
        <v>2</v>
      </c>
      <c r="I138" s="6">
        <v>248</v>
      </c>
      <c r="J138" s="11">
        <v>496</v>
      </c>
      <c r="M138" s="6" t="str" cm="1">
        <f t="array" ref="M138">_xlfn.IFS(J138&lt;=500,"Low",J138&gt;=1500,"Mid",J138&lt;=1500,"High",TRUE,"no")</f>
        <v>Low</v>
      </c>
      <c r="N138" s="6">
        <f t="shared" si="4"/>
        <v>1</v>
      </c>
      <c r="O138" s="6" t="str">
        <f t="shared" si="5"/>
        <v>Charlie</v>
      </c>
    </row>
    <row r="139" spans="1:15" x14ac:dyDescent="0.3">
      <c r="A139" s="10">
        <v>138</v>
      </c>
      <c r="B139" s="18">
        <v>45064</v>
      </c>
      <c r="C139" s="6" t="s">
        <v>157</v>
      </c>
      <c r="D139" s="6" t="s">
        <v>3</v>
      </c>
      <c r="E139" s="6" t="s">
        <v>19</v>
      </c>
      <c r="F139" s="6">
        <v>31</v>
      </c>
      <c r="G139" s="6" t="s">
        <v>20</v>
      </c>
      <c r="H139" s="6">
        <v>1</v>
      </c>
      <c r="I139" s="6">
        <v>311</v>
      </c>
      <c r="J139" s="11">
        <v>311</v>
      </c>
      <c r="M139" s="6" t="str" cm="1">
        <f t="array" ref="M139">_xlfn.IFS(J139&lt;=500,"Low",J139&gt;=1500,"Mid",J139&lt;=1500,"High",TRUE,"no")</f>
        <v>Low</v>
      </c>
      <c r="N139" s="6">
        <f t="shared" si="4"/>
        <v>7</v>
      </c>
      <c r="O139" s="6" t="str">
        <f t="shared" si="5"/>
        <v>Bob</v>
      </c>
    </row>
    <row r="140" spans="1:15" x14ac:dyDescent="0.3">
      <c r="A140" s="10">
        <v>139</v>
      </c>
      <c r="B140" s="18">
        <v>45065</v>
      </c>
      <c r="C140" s="6" t="s">
        <v>158</v>
      </c>
      <c r="D140" s="6" t="s">
        <v>3</v>
      </c>
      <c r="E140" s="6" t="s">
        <v>19</v>
      </c>
      <c r="F140" s="6">
        <v>18</v>
      </c>
      <c r="G140" s="6" t="s">
        <v>27</v>
      </c>
      <c r="H140" s="6">
        <v>5</v>
      </c>
      <c r="I140" s="6">
        <v>466</v>
      </c>
      <c r="J140" s="11">
        <v>2330</v>
      </c>
      <c r="M140" s="6" t="str" cm="1">
        <f t="array" ref="M140">_xlfn.IFS(J140&lt;=500,"Low",J140&gt;=1500,"Mid",J140&lt;=1500,"High",TRUE,"no")</f>
        <v>Mid</v>
      </c>
      <c r="N140" s="6">
        <f t="shared" si="4"/>
        <v>7</v>
      </c>
      <c r="O140" s="6" t="str">
        <f t="shared" si="5"/>
        <v>Bob</v>
      </c>
    </row>
    <row r="141" spans="1:15" x14ac:dyDescent="0.3">
      <c r="A141" s="10">
        <v>140</v>
      </c>
      <c r="B141" s="18">
        <v>45066</v>
      </c>
      <c r="C141" s="6" t="s">
        <v>159</v>
      </c>
      <c r="D141" s="6" t="s">
        <v>3</v>
      </c>
      <c r="E141" s="6" t="s">
        <v>19</v>
      </c>
      <c r="F141" s="6">
        <v>19</v>
      </c>
      <c r="G141" s="6" t="s">
        <v>23</v>
      </c>
      <c r="H141" s="6">
        <v>2</v>
      </c>
      <c r="I141" s="6">
        <v>178</v>
      </c>
      <c r="J141" s="11">
        <v>356</v>
      </c>
      <c r="M141" s="6" t="str" cm="1">
        <f t="array" ref="M141">_xlfn.IFS(J141&lt;=500,"Low",J141&gt;=1500,"Mid",J141&lt;=1500,"High",TRUE,"no")</f>
        <v>Low</v>
      </c>
      <c r="N141" s="6">
        <f t="shared" si="4"/>
        <v>7</v>
      </c>
      <c r="O141" s="6" t="str">
        <f t="shared" si="5"/>
        <v>Bob</v>
      </c>
    </row>
    <row r="142" spans="1:15" x14ac:dyDescent="0.3">
      <c r="A142" s="10">
        <v>141</v>
      </c>
      <c r="B142" s="18">
        <v>45067</v>
      </c>
      <c r="C142" s="6" t="s">
        <v>160</v>
      </c>
      <c r="D142" s="6" t="s">
        <v>4</v>
      </c>
      <c r="E142" s="6" t="s">
        <v>19</v>
      </c>
      <c r="F142" s="6">
        <v>38</v>
      </c>
      <c r="G142" s="6" t="s">
        <v>17</v>
      </c>
      <c r="H142" s="6">
        <v>3</v>
      </c>
      <c r="I142" s="6">
        <v>36</v>
      </c>
      <c r="J142" s="11">
        <v>108</v>
      </c>
      <c r="M142" s="6" t="str" cm="1">
        <f t="array" ref="M142">_xlfn.IFS(J142&lt;=500,"Low",J142&gt;=1500,"Mid",J142&lt;=1500,"High",TRUE,"no")</f>
        <v>Low</v>
      </c>
      <c r="N142" s="6">
        <f t="shared" si="4"/>
        <v>10</v>
      </c>
      <c r="O142" s="6" t="str">
        <f t="shared" si="5"/>
        <v>Alice</v>
      </c>
    </row>
    <row r="143" spans="1:15" x14ac:dyDescent="0.3">
      <c r="A143" s="10">
        <v>142</v>
      </c>
      <c r="B143" s="18">
        <v>45068</v>
      </c>
      <c r="C143" s="6" t="s">
        <v>161</v>
      </c>
      <c r="D143" s="6" t="s">
        <v>1</v>
      </c>
      <c r="E143" s="6" t="s">
        <v>14</v>
      </c>
      <c r="F143" s="6">
        <v>18</v>
      </c>
      <c r="G143" s="6" t="s">
        <v>15</v>
      </c>
      <c r="H143" s="6">
        <v>5</v>
      </c>
      <c r="I143" s="6">
        <v>20</v>
      </c>
      <c r="J143" s="11">
        <v>100</v>
      </c>
      <c r="M143" s="6" t="str" cm="1">
        <f t="array" ref="M143">_xlfn.IFS(J143&lt;=500,"Low",J143&gt;=1500,"Mid",J143&lt;=1500,"High",TRUE,"no")</f>
        <v>Low</v>
      </c>
      <c r="N143" s="6">
        <f t="shared" si="4"/>
        <v>1</v>
      </c>
      <c r="O143" s="6" t="str">
        <f t="shared" si="5"/>
        <v>Charlie</v>
      </c>
    </row>
    <row r="144" spans="1:15" x14ac:dyDescent="0.3">
      <c r="A144" s="10">
        <v>143</v>
      </c>
      <c r="B144" s="18">
        <v>45069</v>
      </c>
      <c r="C144" s="6" t="s">
        <v>162</v>
      </c>
      <c r="D144" s="6" t="s">
        <v>3</v>
      </c>
      <c r="E144" s="6" t="s">
        <v>14</v>
      </c>
      <c r="F144" s="6">
        <v>43</v>
      </c>
      <c r="G144" s="6" t="s">
        <v>27</v>
      </c>
      <c r="H144" s="6">
        <v>5</v>
      </c>
      <c r="I144" s="6">
        <v>210</v>
      </c>
      <c r="J144" s="11">
        <v>1050</v>
      </c>
      <c r="M144" s="6" t="str" cm="1">
        <f t="array" ref="M144">_xlfn.IFS(J144&lt;=500,"Low",J144&gt;=1500,"Mid",J144&lt;=1500,"High",TRUE,"no")</f>
        <v>High</v>
      </c>
      <c r="N144" s="6">
        <f t="shared" si="4"/>
        <v>7</v>
      </c>
      <c r="O144" s="6" t="str">
        <f t="shared" si="5"/>
        <v>Bob</v>
      </c>
    </row>
    <row r="145" spans="1:15" x14ac:dyDescent="0.3">
      <c r="A145" s="10">
        <v>144</v>
      </c>
      <c r="B145" s="18">
        <v>45070</v>
      </c>
      <c r="C145" s="6" t="s">
        <v>163</v>
      </c>
      <c r="D145" s="6" t="s">
        <v>3</v>
      </c>
      <c r="E145" s="6" t="s">
        <v>14</v>
      </c>
      <c r="F145" s="6">
        <v>58</v>
      </c>
      <c r="G145" s="6" t="s">
        <v>23</v>
      </c>
      <c r="H145" s="6">
        <v>4</v>
      </c>
      <c r="I145" s="6">
        <v>437</v>
      </c>
      <c r="J145" s="11">
        <v>1748</v>
      </c>
      <c r="M145" s="6" t="str" cm="1">
        <f t="array" ref="M145">_xlfn.IFS(J145&lt;=500,"Low",J145&gt;=1500,"Mid",J145&lt;=1500,"High",TRUE,"no")</f>
        <v>Mid</v>
      </c>
      <c r="N145" s="6">
        <f t="shared" si="4"/>
        <v>7</v>
      </c>
      <c r="O145" s="6" t="str">
        <f t="shared" si="5"/>
        <v>Bob</v>
      </c>
    </row>
    <row r="146" spans="1:15" x14ac:dyDescent="0.3">
      <c r="A146" s="10">
        <v>145</v>
      </c>
      <c r="B146" s="18">
        <v>45071</v>
      </c>
      <c r="C146" s="6" t="s">
        <v>164</v>
      </c>
      <c r="D146" s="6" t="s">
        <v>2</v>
      </c>
      <c r="E146" s="6" t="s">
        <v>14</v>
      </c>
      <c r="F146" s="6">
        <v>56</v>
      </c>
      <c r="G146" s="6" t="s">
        <v>20</v>
      </c>
      <c r="H146" s="6">
        <v>1</v>
      </c>
      <c r="I146" s="6">
        <v>174</v>
      </c>
      <c r="J146" s="11">
        <v>174</v>
      </c>
      <c r="M146" s="6" t="str" cm="1">
        <f t="array" ref="M146">_xlfn.IFS(J146&lt;=500,"Low",J146&gt;=1500,"Mid",J146&lt;=1500,"High",TRUE,"no")</f>
        <v>Low</v>
      </c>
      <c r="N146" s="6">
        <f t="shared" si="4"/>
        <v>2</v>
      </c>
      <c r="O146" s="6" t="str">
        <f t="shared" si="5"/>
        <v>Diana</v>
      </c>
    </row>
    <row r="147" spans="1:15" x14ac:dyDescent="0.3">
      <c r="A147" s="10">
        <v>146</v>
      </c>
      <c r="B147" s="18">
        <v>45072</v>
      </c>
      <c r="C147" s="6" t="s">
        <v>165</v>
      </c>
      <c r="D147" s="6" t="s">
        <v>1</v>
      </c>
      <c r="E147" s="6" t="s">
        <v>14</v>
      </c>
      <c r="F147" s="6">
        <v>45</v>
      </c>
      <c r="G147" s="6" t="s">
        <v>20</v>
      </c>
      <c r="H147" s="6">
        <v>4</v>
      </c>
      <c r="I147" s="6">
        <v>337</v>
      </c>
      <c r="J147" s="11">
        <v>1348</v>
      </c>
      <c r="M147" s="6" t="str" cm="1">
        <f t="array" ref="M147">_xlfn.IFS(J147&lt;=500,"Low",J147&gt;=1500,"Mid",J147&lt;=1500,"High",TRUE,"no")</f>
        <v>High</v>
      </c>
      <c r="N147" s="6">
        <f t="shared" si="4"/>
        <v>1</v>
      </c>
      <c r="O147" s="6" t="str">
        <f t="shared" si="5"/>
        <v>Charlie</v>
      </c>
    </row>
    <row r="148" spans="1:15" x14ac:dyDescent="0.3">
      <c r="A148" s="10">
        <v>147</v>
      </c>
      <c r="B148" s="18">
        <v>45073</v>
      </c>
      <c r="C148" s="6" t="s">
        <v>166</v>
      </c>
      <c r="D148" s="6" t="s">
        <v>3</v>
      </c>
      <c r="E148" s="6" t="s">
        <v>14</v>
      </c>
      <c r="F148" s="6">
        <v>52</v>
      </c>
      <c r="G148" s="6" t="s">
        <v>27</v>
      </c>
      <c r="H148" s="6">
        <v>4</v>
      </c>
      <c r="I148" s="6">
        <v>356</v>
      </c>
      <c r="J148" s="11">
        <v>1424</v>
      </c>
      <c r="M148" s="6" t="str" cm="1">
        <f t="array" ref="M148">_xlfn.IFS(J148&lt;=500,"Low",J148&gt;=1500,"Mid",J148&lt;=1500,"High",TRUE,"no")</f>
        <v>High</v>
      </c>
      <c r="N148" s="6">
        <f t="shared" si="4"/>
        <v>7</v>
      </c>
      <c r="O148" s="6" t="str">
        <f t="shared" si="5"/>
        <v>Bob</v>
      </c>
    </row>
    <row r="149" spans="1:15" x14ac:dyDescent="0.3">
      <c r="A149" s="10">
        <v>148</v>
      </c>
      <c r="B149" s="18">
        <v>45074</v>
      </c>
      <c r="C149" s="6" t="s">
        <v>167</v>
      </c>
      <c r="D149" s="6" t="s">
        <v>2</v>
      </c>
      <c r="E149" s="6" t="s">
        <v>19</v>
      </c>
      <c r="F149" s="6">
        <v>18</v>
      </c>
      <c r="G149" s="6" t="s">
        <v>27</v>
      </c>
      <c r="H149" s="6">
        <v>4</v>
      </c>
      <c r="I149" s="6">
        <v>326</v>
      </c>
      <c r="J149" s="11">
        <v>1304</v>
      </c>
      <c r="M149" s="6" t="str" cm="1">
        <f t="array" ref="M149">_xlfn.IFS(J149&lt;=500,"Low",J149&gt;=1500,"Mid",J149&lt;=1500,"High",TRUE,"no")</f>
        <v>High</v>
      </c>
      <c r="N149" s="6">
        <f t="shared" si="4"/>
        <v>2</v>
      </c>
      <c r="O149" s="6" t="str">
        <f t="shared" si="5"/>
        <v>Diana</v>
      </c>
    </row>
    <row r="150" spans="1:15" x14ac:dyDescent="0.3">
      <c r="A150" s="10">
        <v>149</v>
      </c>
      <c r="B150" s="18">
        <v>45075</v>
      </c>
      <c r="C150" s="6" t="s">
        <v>168</v>
      </c>
      <c r="D150" s="6" t="s">
        <v>2</v>
      </c>
      <c r="E150" s="6" t="s">
        <v>14</v>
      </c>
      <c r="F150" s="6">
        <v>38</v>
      </c>
      <c r="G150" s="6" t="s">
        <v>15</v>
      </c>
      <c r="H150" s="6">
        <v>5</v>
      </c>
      <c r="I150" s="6">
        <v>343</v>
      </c>
      <c r="J150" s="11">
        <v>1715</v>
      </c>
      <c r="M150" s="6" t="str" cm="1">
        <f t="array" ref="M150">_xlfn.IFS(J150&lt;=500,"Low",J150&gt;=1500,"Mid",J150&lt;=1500,"High",TRUE,"no")</f>
        <v>Mid</v>
      </c>
      <c r="N150" s="6">
        <f t="shared" si="4"/>
        <v>2</v>
      </c>
      <c r="O150" s="6" t="str">
        <f t="shared" si="5"/>
        <v>Diana</v>
      </c>
    </row>
    <row r="151" spans="1:15" x14ac:dyDescent="0.3">
      <c r="A151" s="10">
        <v>150</v>
      </c>
      <c r="B151" s="18">
        <v>45076</v>
      </c>
      <c r="C151" s="6" t="s">
        <v>169</v>
      </c>
      <c r="D151" s="6" t="s">
        <v>4</v>
      </c>
      <c r="E151" s="6" t="s">
        <v>14</v>
      </c>
      <c r="F151" s="6">
        <v>25</v>
      </c>
      <c r="G151" s="6" t="s">
        <v>15</v>
      </c>
      <c r="H151" s="6">
        <v>3</v>
      </c>
      <c r="I151" s="6">
        <v>133</v>
      </c>
      <c r="J151" s="11">
        <v>399</v>
      </c>
      <c r="M151" s="6" t="str" cm="1">
        <f t="array" ref="M151">_xlfn.IFS(J151&lt;=500,"Low",J151&gt;=1500,"Mid",J151&lt;=1500,"High",TRUE,"no")</f>
        <v>Low</v>
      </c>
      <c r="N151" s="6">
        <f t="shared" si="4"/>
        <v>10</v>
      </c>
      <c r="O151" s="6" t="str">
        <f t="shared" si="5"/>
        <v>Alice</v>
      </c>
    </row>
    <row r="152" spans="1:15" x14ac:dyDescent="0.3">
      <c r="A152" s="10">
        <v>151</v>
      </c>
      <c r="B152" s="18">
        <v>45077</v>
      </c>
      <c r="C152" s="6" t="s">
        <v>170</v>
      </c>
      <c r="D152" s="6" t="s">
        <v>2</v>
      </c>
      <c r="E152" s="6" t="s">
        <v>14</v>
      </c>
      <c r="F152" s="6">
        <v>53</v>
      </c>
      <c r="G152" s="6" t="s">
        <v>20</v>
      </c>
      <c r="H152" s="6">
        <v>5</v>
      </c>
      <c r="I152" s="6">
        <v>483</v>
      </c>
      <c r="J152" s="11">
        <v>2415</v>
      </c>
      <c r="M152" s="6" t="str" cm="1">
        <f t="array" ref="M152">_xlfn.IFS(J152&lt;=500,"Low",J152&gt;=1500,"Mid",J152&lt;=1500,"High",TRUE,"no")</f>
        <v>Mid</v>
      </c>
      <c r="N152" s="6">
        <f t="shared" si="4"/>
        <v>2</v>
      </c>
      <c r="O152" s="6" t="str">
        <f t="shared" si="5"/>
        <v>Diana</v>
      </c>
    </row>
    <row r="153" spans="1:15" x14ac:dyDescent="0.3">
      <c r="A153" s="10">
        <v>152</v>
      </c>
      <c r="B153" s="18">
        <v>45078</v>
      </c>
      <c r="C153" s="6" t="s">
        <v>171</v>
      </c>
      <c r="D153" s="6" t="s">
        <v>3</v>
      </c>
      <c r="E153" s="6" t="s">
        <v>19</v>
      </c>
      <c r="F153" s="6">
        <v>54</v>
      </c>
      <c r="G153" s="6" t="s">
        <v>17</v>
      </c>
      <c r="H153" s="6">
        <v>5</v>
      </c>
      <c r="I153" s="6">
        <v>454</v>
      </c>
      <c r="J153" s="11">
        <v>2270</v>
      </c>
      <c r="M153" s="6" t="str" cm="1">
        <f t="array" ref="M153">_xlfn.IFS(J153&lt;=500,"Low",J153&gt;=1500,"Mid",J153&lt;=1500,"High",TRUE,"no")</f>
        <v>Mid</v>
      </c>
      <c r="N153" s="6">
        <f t="shared" si="4"/>
        <v>7</v>
      </c>
      <c r="O153" s="6" t="str">
        <f t="shared" si="5"/>
        <v>Bob</v>
      </c>
    </row>
    <row r="154" spans="1:15" x14ac:dyDescent="0.3">
      <c r="A154" s="10">
        <v>153</v>
      </c>
      <c r="B154" s="18">
        <v>45079</v>
      </c>
      <c r="C154" s="6" t="s">
        <v>172</v>
      </c>
      <c r="D154" s="6" t="s">
        <v>4</v>
      </c>
      <c r="E154" s="6" t="s">
        <v>14</v>
      </c>
      <c r="F154" s="6">
        <v>59</v>
      </c>
      <c r="G154" s="6" t="s">
        <v>27</v>
      </c>
      <c r="H154" s="6">
        <v>2</v>
      </c>
      <c r="I154" s="6">
        <v>293</v>
      </c>
      <c r="J154" s="11">
        <v>586</v>
      </c>
      <c r="M154" s="6" t="str" cm="1">
        <f t="array" ref="M154">_xlfn.IFS(J154&lt;=500,"Low",J154&gt;=1500,"Mid",J154&lt;=1500,"High",TRUE,"no")</f>
        <v>High</v>
      </c>
      <c r="N154" s="6">
        <f t="shared" si="4"/>
        <v>10</v>
      </c>
      <c r="O154" s="6" t="str">
        <f t="shared" si="5"/>
        <v>Alice</v>
      </c>
    </row>
    <row r="155" spans="1:15" x14ac:dyDescent="0.3">
      <c r="A155" s="10">
        <v>154</v>
      </c>
      <c r="B155" s="18">
        <v>45080</v>
      </c>
      <c r="C155" s="6" t="s">
        <v>173</v>
      </c>
      <c r="D155" s="6" t="s">
        <v>4</v>
      </c>
      <c r="E155" s="6" t="s">
        <v>19</v>
      </c>
      <c r="F155" s="6">
        <v>44</v>
      </c>
      <c r="G155" s="6" t="s">
        <v>17</v>
      </c>
      <c r="H155" s="6">
        <v>4</v>
      </c>
      <c r="I155" s="6">
        <v>393</v>
      </c>
      <c r="J155" s="11">
        <v>1572</v>
      </c>
      <c r="M155" s="6" t="str" cm="1">
        <f t="array" ref="M155">_xlfn.IFS(J155&lt;=500,"Low",J155&gt;=1500,"Mid",J155&lt;=1500,"High",TRUE,"no")</f>
        <v>Mid</v>
      </c>
      <c r="N155" s="6">
        <f t="shared" si="4"/>
        <v>10</v>
      </c>
      <c r="O155" s="6" t="str">
        <f t="shared" si="5"/>
        <v>Alice</v>
      </c>
    </row>
    <row r="156" spans="1:15" x14ac:dyDescent="0.3">
      <c r="A156" s="10">
        <v>155</v>
      </c>
      <c r="B156" s="18">
        <v>45081</v>
      </c>
      <c r="C156" s="6" t="s">
        <v>174</v>
      </c>
      <c r="D156" s="6" t="s">
        <v>3</v>
      </c>
      <c r="E156" s="6" t="s">
        <v>14</v>
      </c>
      <c r="F156" s="6">
        <v>22</v>
      </c>
      <c r="G156" s="6" t="s">
        <v>15</v>
      </c>
      <c r="H156" s="6">
        <v>2</v>
      </c>
      <c r="I156" s="6">
        <v>319</v>
      </c>
      <c r="J156" s="11">
        <v>638</v>
      </c>
      <c r="M156" s="6" t="str" cm="1">
        <f t="array" ref="M156">_xlfn.IFS(J156&lt;=500,"Low",J156&gt;=1500,"Mid",J156&lt;=1500,"High",TRUE,"no")</f>
        <v>High</v>
      </c>
      <c r="N156" s="6">
        <f t="shared" si="4"/>
        <v>7</v>
      </c>
      <c r="O156" s="6" t="str">
        <f t="shared" si="5"/>
        <v>Bob</v>
      </c>
    </row>
    <row r="157" spans="1:15" x14ac:dyDescent="0.3">
      <c r="A157" s="10">
        <v>156</v>
      </c>
      <c r="B157" s="18">
        <v>45082</v>
      </c>
      <c r="C157" s="6" t="s">
        <v>175</v>
      </c>
      <c r="D157" s="6" t="s">
        <v>1</v>
      </c>
      <c r="E157" s="6" t="s">
        <v>14</v>
      </c>
      <c r="F157" s="6">
        <v>24</v>
      </c>
      <c r="G157" s="6" t="s">
        <v>17</v>
      </c>
      <c r="H157" s="6">
        <v>2</v>
      </c>
      <c r="I157" s="6">
        <v>182</v>
      </c>
      <c r="J157" s="11">
        <v>364</v>
      </c>
      <c r="M157" s="6" t="str" cm="1">
        <f t="array" ref="M157">_xlfn.IFS(J157&lt;=500,"Low",J157&gt;=1500,"Mid",J157&lt;=1500,"High",TRUE,"no")</f>
        <v>Low</v>
      </c>
      <c r="N157" s="6">
        <f t="shared" si="4"/>
        <v>1</v>
      </c>
      <c r="O157" s="6" t="str">
        <f t="shared" si="5"/>
        <v>Charlie</v>
      </c>
    </row>
    <row r="158" spans="1:15" x14ac:dyDescent="0.3">
      <c r="A158" s="10">
        <v>157</v>
      </c>
      <c r="B158" s="18">
        <v>45083</v>
      </c>
      <c r="C158" s="6" t="s">
        <v>176</v>
      </c>
      <c r="D158" s="6" t="s">
        <v>2</v>
      </c>
      <c r="E158" s="6" t="s">
        <v>14</v>
      </c>
      <c r="F158" s="6">
        <v>34</v>
      </c>
      <c r="G158" s="6" t="s">
        <v>20</v>
      </c>
      <c r="H158" s="6">
        <v>1</v>
      </c>
      <c r="I158" s="6">
        <v>59</v>
      </c>
      <c r="J158" s="11">
        <v>59</v>
      </c>
      <c r="M158" s="6" t="str" cm="1">
        <f t="array" ref="M158">_xlfn.IFS(J158&lt;=500,"Low",J158&gt;=1500,"Mid",J158&lt;=1500,"High",TRUE,"no")</f>
        <v>Low</v>
      </c>
      <c r="N158" s="6">
        <f t="shared" si="4"/>
        <v>2</v>
      </c>
      <c r="O158" s="6" t="str">
        <f t="shared" si="5"/>
        <v>Diana</v>
      </c>
    </row>
    <row r="159" spans="1:15" x14ac:dyDescent="0.3">
      <c r="A159" s="10">
        <v>158</v>
      </c>
      <c r="B159" s="18">
        <v>45084</v>
      </c>
      <c r="C159" s="6" t="s">
        <v>177</v>
      </c>
      <c r="D159" s="6" t="s">
        <v>4</v>
      </c>
      <c r="E159" s="6" t="s">
        <v>19</v>
      </c>
      <c r="F159" s="6">
        <v>51</v>
      </c>
      <c r="G159" s="6" t="s">
        <v>17</v>
      </c>
      <c r="H159" s="6">
        <v>2</v>
      </c>
      <c r="I159" s="6">
        <v>475</v>
      </c>
      <c r="J159" s="11">
        <v>950</v>
      </c>
      <c r="M159" s="6" t="str" cm="1">
        <f t="array" ref="M159">_xlfn.IFS(J159&lt;=500,"Low",J159&gt;=1500,"Mid",J159&lt;=1500,"High",TRUE,"no")</f>
        <v>High</v>
      </c>
      <c r="N159" s="6">
        <f t="shared" si="4"/>
        <v>10</v>
      </c>
      <c r="O159" s="6" t="str">
        <f t="shared" si="5"/>
        <v>Alice</v>
      </c>
    </row>
    <row r="160" spans="1:15" x14ac:dyDescent="0.3">
      <c r="A160" s="10">
        <v>159</v>
      </c>
      <c r="B160" s="18">
        <v>45085</v>
      </c>
      <c r="C160" s="6" t="s">
        <v>178</v>
      </c>
      <c r="D160" s="6" t="s">
        <v>1</v>
      </c>
      <c r="E160" s="6" t="s">
        <v>14</v>
      </c>
      <c r="F160" s="6">
        <v>45</v>
      </c>
      <c r="G160" s="6" t="s">
        <v>27</v>
      </c>
      <c r="H160" s="6">
        <v>2</v>
      </c>
      <c r="I160" s="6">
        <v>168</v>
      </c>
      <c r="J160" s="11">
        <v>336</v>
      </c>
      <c r="M160" s="6" t="str" cm="1">
        <f t="array" ref="M160">_xlfn.IFS(J160&lt;=500,"Low",J160&gt;=1500,"Mid",J160&lt;=1500,"High",TRUE,"no")</f>
        <v>Low</v>
      </c>
      <c r="N160" s="6">
        <f t="shared" si="4"/>
        <v>1</v>
      </c>
      <c r="O160" s="6" t="str">
        <f t="shared" si="5"/>
        <v>Charlie</v>
      </c>
    </row>
    <row r="161" spans="1:15" x14ac:dyDescent="0.3">
      <c r="A161" s="10">
        <v>160</v>
      </c>
      <c r="B161" s="18">
        <v>45086</v>
      </c>
      <c r="C161" s="6" t="s">
        <v>179</v>
      </c>
      <c r="D161" s="6" t="s">
        <v>3</v>
      </c>
      <c r="E161" s="6" t="s">
        <v>19</v>
      </c>
      <c r="F161" s="6">
        <v>22</v>
      </c>
      <c r="G161" s="6" t="s">
        <v>15</v>
      </c>
      <c r="H161" s="6">
        <v>2</v>
      </c>
      <c r="I161" s="6">
        <v>76</v>
      </c>
      <c r="J161" s="11">
        <v>152</v>
      </c>
      <c r="M161" s="6" t="str" cm="1">
        <f t="array" ref="M161">_xlfn.IFS(J161&lt;=500,"Low",J161&gt;=1500,"Mid",J161&lt;=1500,"High",TRUE,"no")</f>
        <v>Low</v>
      </c>
      <c r="N161" s="6">
        <f t="shared" si="4"/>
        <v>7</v>
      </c>
      <c r="O161" s="6" t="str">
        <f t="shared" si="5"/>
        <v>Bob</v>
      </c>
    </row>
    <row r="162" spans="1:15" x14ac:dyDescent="0.3">
      <c r="A162" s="10">
        <v>161</v>
      </c>
      <c r="B162" s="18">
        <v>45087</v>
      </c>
      <c r="C162" s="6" t="s">
        <v>180</v>
      </c>
      <c r="D162" s="6" t="s">
        <v>2</v>
      </c>
      <c r="E162" s="6" t="s">
        <v>19</v>
      </c>
      <c r="F162" s="6">
        <v>49</v>
      </c>
      <c r="G162" s="6" t="s">
        <v>27</v>
      </c>
      <c r="H162" s="6">
        <v>4</v>
      </c>
      <c r="I162" s="6">
        <v>48</v>
      </c>
      <c r="J162" s="11">
        <v>192</v>
      </c>
      <c r="M162" s="6" t="str" cm="1">
        <f t="array" ref="M162">_xlfn.IFS(J162&lt;=500,"Low",J162&gt;=1500,"Mid",J162&lt;=1500,"High",TRUE,"no")</f>
        <v>Low</v>
      </c>
      <c r="N162" s="6">
        <f t="shared" si="4"/>
        <v>2</v>
      </c>
      <c r="O162" s="6" t="str">
        <f t="shared" si="5"/>
        <v>Diana</v>
      </c>
    </row>
    <row r="163" spans="1:15" x14ac:dyDescent="0.3">
      <c r="A163" s="10">
        <v>162</v>
      </c>
      <c r="B163" s="18">
        <v>45088</v>
      </c>
      <c r="C163" s="6" t="s">
        <v>181</v>
      </c>
      <c r="D163" s="6" t="s">
        <v>2</v>
      </c>
      <c r="E163" s="6" t="s">
        <v>14</v>
      </c>
      <c r="F163" s="6">
        <v>49</v>
      </c>
      <c r="G163" s="6" t="s">
        <v>20</v>
      </c>
      <c r="H163" s="6">
        <v>1</v>
      </c>
      <c r="I163" s="6">
        <v>64</v>
      </c>
      <c r="J163" s="11">
        <v>64</v>
      </c>
      <c r="M163" s="6" t="str" cm="1">
        <f t="array" ref="M163">_xlfn.IFS(J163&lt;=500,"Low",J163&gt;=1500,"Mid",J163&lt;=1500,"High",TRUE,"no")</f>
        <v>Low</v>
      </c>
      <c r="N163" s="6">
        <f t="shared" si="4"/>
        <v>2</v>
      </c>
      <c r="O163" s="6" t="str">
        <f t="shared" si="5"/>
        <v>Diana</v>
      </c>
    </row>
    <row r="164" spans="1:15" x14ac:dyDescent="0.3">
      <c r="A164" s="10">
        <v>163</v>
      </c>
      <c r="B164" s="18">
        <v>45089</v>
      </c>
      <c r="C164" s="6" t="s">
        <v>182</v>
      </c>
      <c r="D164" s="6" t="s">
        <v>4</v>
      </c>
      <c r="E164" s="6" t="s">
        <v>14</v>
      </c>
      <c r="F164" s="6">
        <v>34</v>
      </c>
      <c r="G164" s="6" t="s">
        <v>20</v>
      </c>
      <c r="H164" s="6">
        <v>2</v>
      </c>
      <c r="I164" s="6">
        <v>26</v>
      </c>
      <c r="J164" s="11">
        <v>52</v>
      </c>
      <c r="M164" s="6" t="str" cm="1">
        <f t="array" ref="M164">_xlfn.IFS(J164&lt;=500,"Low",J164&gt;=1500,"Mid",J164&lt;=1500,"High",TRUE,"no")</f>
        <v>Low</v>
      </c>
      <c r="N164" s="6">
        <f t="shared" si="4"/>
        <v>10</v>
      </c>
      <c r="O164" s="6" t="str">
        <f t="shared" si="5"/>
        <v>Alice</v>
      </c>
    </row>
    <row r="165" spans="1:15" x14ac:dyDescent="0.3">
      <c r="A165" s="10">
        <v>164</v>
      </c>
      <c r="B165" s="18">
        <v>45090</v>
      </c>
      <c r="C165" s="6" t="s">
        <v>183</v>
      </c>
      <c r="D165" s="6" t="s">
        <v>2</v>
      </c>
      <c r="E165" s="6" t="s">
        <v>19</v>
      </c>
      <c r="F165" s="6">
        <v>28</v>
      </c>
      <c r="G165" s="6" t="s">
        <v>23</v>
      </c>
      <c r="H165" s="6">
        <v>2</v>
      </c>
      <c r="I165" s="6">
        <v>270</v>
      </c>
      <c r="J165" s="11">
        <v>540</v>
      </c>
      <c r="M165" s="6" t="str" cm="1">
        <f t="array" ref="M165">_xlfn.IFS(J165&lt;=500,"Low",J165&gt;=1500,"Mid",J165&lt;=1500,"High",TRUE,"no")</f>
        <v>High</v>
      </c>
      <c r="N165" s="6">
        <f t="shared" si="4"/>
        <v>2</v>
      </c>
      <c r="O165" s="6" t="str">
        <f t="shared" si="5"/>
        <v>Diana</v>
      </c>
    </row>
    <row r="166" spans="1:15" x14ac:dyDescent="0.3">
      <c r="A166" s="10">
        <v>165</v>
      </c>
      <c r="B166" s="18">
        <v>45091</v>
      </c>
      <c r="C166" s="6" t="s">
        <v>184</v>
      </c>
      <c r="D166" s="6" t="s">
        <v>2</v>
      </c>
      <c r="E166" s="6" t="s">
        <v>14</v>
      </c>
      <c r="F166" s="6">
        <v>48</v>
      </c>
      <c r="G166" s="6" t="s">
        <v>17</v>
      </c>
      <c r="H166" s="6">
        <v>3</v>
      </c>
      <c r="I166" s="6">
        <v>185</v>
      </c>
      <c r="J166" s="11">
        <v>555</v>
      </c>
      <c r="M166" s="6" t="str" cm="1">
        <f t="array" ref="M166">_xlfn.IFS(J166&lt;=500,"Low",J166&gt;=1500,"Mid",J166&lt;=1500,"High",TRUE,"no")</f>
        <v>High</v>
      </c>
      <c r="N166" s="6">
        <f t="shared" si="4"/>
        <v>2</v>
      </c>
      <c r="O166" s="6" t="str">
        <f t="shared" si="5"/>
        <v>Diana</v>
      </c>
    </row>
    <row r="167" spans="1:15" x14ac:dyDescent="0.3">
      <c r="A167" s="10">
        <v>166</v>
      </c>
      <c r="B167" s="18">
        <v>45092</v>
      </c>
      <c r="C167" s="6" t="s">
        <v>185</v>
      </c>
      <c r="D167" s="6" t="s">
        <v>2</v>
      </c>
      <c r="E167" s="6" t="s">
        <v>19</v>
      </c>
      <c r="F167" s="6">
        <v>36</v>
      </c>
      <c r="G167" s="6" t="s">
        <v>20</v>
      </c>
      <c r="H167" s="6">
        <v>1</v>
      </c>
      <c r="I167" s="6">
        <v>472</v>
      </c>
      <c r="J167" s="11">
        <v>472</v>
      </c>
      <c r="M167" s="6" t="str" cm="1">
        <f t="array" ref="M167">_xlfn.IFS(J167&lt;=500,"Low",J167&gt;=1500,"Mid",J167&lt;=1500,"High",TRUE,"no")</f>
        <v>Low</v>
      </c>
      <c r="N167" s="6">
        <f t="shared" si="4"/>
        <v>2</v>
      </c>
      <c r="O167" s="6" t="str">
        <f t="shared" si="5"/>
        <v>Diana</v>
      </c>
    </row>
    <row r="168" spans="1:15" x14ac:dyDescent="0.3">
      <c r="A168" s="10">
        <v>167</v>
      </c>
      <c r="B168" s="18">
        <v>45093</v>
      </c>
      <c r="C168" s="6" t="s">
        <v>186</v>
      </c>
      <c r="D168" s="6" t="s">
        <v>2</v>
      </c>
      <c r="E168" s="6" t="s">
        <v>14</v>
      </c>
      <c r="F168" s="6">
        <v>22</v>
      </c>
      <c r="G168" s="6" t="s">
        <v>15</v>
      </c>
      <c r="H168" s="6">
        <v>3</v>
      </c>
      <c r="I168" s="6">
        <v>351</v>
      </c>
      <c r="J168" s="11">
        <v>1053</v>
      </c>
      <c r="M168" s="6" t="str" cm="1">
        <f t="array" ref="M168">_xlfn.IFS(J168&lt;=500,"Low",J168&gt;=1500,"Mid",J168&lt;=1500,"High",TRUE,"no")</f>
        <v>High</v>
      </c>
      <c r="N168" s="6">
        <f t="shared" si="4"/>
        <v>2</v>
      </c>
      <c r="O168" s="6" t="str">
        <f t="shared" si="5"/>
        <v>Diana</v>
      </c>
    </row>
    <row r="169" spans="1:15" x14ac:dyDescent="0.3">
      <c r="A169" s="10">
        <v>168</v>
      </c>
      <c r="B169" s="18">
        <v>45094</v>
      </c>
      <c r="C169" s="6" t="s">
        <v>187</v>
      </c>
      <c r="D169" s="6" t="s">
        <v>3</v>
      </c>
      <c r="E169" s="6" t="s">
        <v>14</v>
      </c>
      <c r="F169" s="6">
        <v>26</v>
      </c>
      <c r="G169" s="6" t="s">
        <v>27</v>
      </c>
      <c r="H169" s="6">
        <v>5</v>
      </c>
      <c r="I169" s="6">
        <v>57</v>
      </c>
      <c r="J169" s="11">
        <v>285</v>
      </c>
      <c r="M169" s="6" t="str" cm="1">
        <f t="array" ref="M169">_xlfn.IFS(J169&lt;=500,"Low",J169&gt;=1500,"Mid",J169&lt;=1500,"High",TRUE,"no")</f>
        <v>Low</v>
      </c>
      <c r="N169" s="6">
        <f t="shared" si="4"/>
        <v>7</v>
      </c>
      <c r="O169" s="6" t="str">
        <f t="shared" si="5"/>
        <v>Bob</v>
      </c>
    </row>
    <row r="170" spans="1:15" x14ac:dyDescent="0.3">
      <c r="A170" s="10">
        <v>169</v>
      </c>
      <c r="B170" s="18">
        <v>45095</v>
      </c>
      <c r="C170" s="6" t="s">
        <v>188</v>
      </c>
      <c r="D170" s="6" t="s">
        <v>1</v>
      </c>
      <c r="E170" s="6" t="s">
        <v>14</v>
      </c>
      <c r="F170" s="6">
        <v>39</v>
      </c>
      <c r="G170" s="6" t="s">
        <v>15</v>
      </c>
      <c r="H170" s="6">
        <v>3</v>
      </c>
      <c r="I170" s="6">
        <v>119</v>
      </c>
      <c r="J170" s="11">
        <v>357</v>
      </c>
      <c r="M170" s="6" t="str" cm="1">
        <f t="array" ref="M170">_xlfn.IFS(J170&lt;=500,"Low",J170&gt;=1500,"Mid",J170&lt;=1500,"High",TRUE,"no")</f>
        <v>Low</v>
      </c>
      <c r="N170" s="6">
        <f t="shared" si="4"/>
        <v>1</v>
      </c>
      <c r="O170" s="6" t="str">
        <f t="shared" si="5"/>
        <v>Charlie</v>
      </c>
    </row>
    <row r="171" spans="1:15" x14ac:dyDescent="0.3">
      <c r="A171" s="10">
        <v>170</v>
      </c>
      <c r="B171" s="18">
        <v>45096</v>
      </c>
      <c r="C171" s="6" t="s">
        <v>189</v>
      </c>
      <c r="D171" s="6" t="s">
        <v>3</v>
      </c>
      <c r="E171" s="6" t="s">
        <v>19</v>
      </c>
      <c r="F171" s="6">
        <v>31</v>
      </c>
      <c r="G171" s="6" t="s">
        <v>27</v>
      </c>
      <c r="H171" s="6">
        <v>4</v>
      </c>
      <c r="I171" s="6">
        <v>201</v>
      </c>
      <c r="J171" s="11">
        <v>804</v>
      </c>
      <c r="M171" s="6" t="str" cm="1">
        <f t="array" ref="M171">_xlfn.IFS(J171&lt;=500,"Low",J171&gt;=1500,"Mid",J171&lt;=1500,"High",TRUE,"no")</f>
        <v>High</v>
      </c>
      <c r="N171" s="6">
        <f t="shared" si="4"/>
        <v>7</v>
      </c>
      <c r="O171" s="6" t="str">
        <f t="shared" si="5"/>
        <v>Bob</v>
      </c>
    </row>
    <row r="172" spans="1:15" x14ac:dyDescent="0.3">
      <c r="A172" s="10">
        <v>171</v>
      </c>
      <c r="B172" s="18">
        <v>45097</v>
      </c>
      <c r="C172" s="6" t="s">
        <v>190</v>
      </c>
      <c r="D172" s="6" t="s">
        <v>3</v>
      </c>
      <c r="E172" s="6" t="s">
        <v>19</v>
      </c>
      <c r="F172" s="6">
        <v>33</v>
      </c>
      <c r="G172" s="6" t="s">
        <v>17</v>
      </c>
      <c r="H172" s="6">
        <v>2</v>
      </c>
      <c r="I172" s="6">
        <v>234</v>
      </c>
      <c r="J172" s="11">
        <v>468</v>
      </c>
      <c r="M172" s="6" t="str" cm="1">
        <f t="array" ref="M172">_xlfn.IFS(J172&lt;=500,"Low",J172&gt;=1500,"Mid",J172&lt;=1500,"High",TRUE,"no")</f>
        <v>Low</v>
      </c>
      <c r="N172" s="6">
        <f t="shared" si="4"/>
        <v>7</v>
      </c>
      <c r="O172" s="6" t="str">
        <f t="shared" si="5"/>
        <v>Bob</v>
      </c>
    </row>
    <row r="173" spans="1:15" x14ac:dyDescent="0.3">
      <c r="A173" s="10">
        <v>172</v>
      </c>
      <c r="B173" s="18">
        <v>45098</v>
      </c>
      <c r="C173" s="6" t="s">
        <v>191</v>
      </c>
      <c r="D173" s="6" t="s">
        <v>4</v>
      </c>
      <c r="E173" s="6" t="s">
        <v>19</v>
      </c>
      <c r="F173" s="6">
        <v>45</v>
      </c>
      <c r="G173" s="6" t="s">
        <v>15</v>
      </c>
      <c r="H173" s="6">
        <v>1</v>
      </c>
      <c r="I173" s="6">
        <v>186</v>
      </c>
      <c r="J173" s="11">
        <v>186</v>
      </c>
      <c r="M173" s="6" t="str" cm="1">
        <f t="array" ref="M173">_xlfn.IFS(J173&lt;=500,"Low",J173&gt;=1500,"Mid",J173&lt;=1500,"High",TRUE,"no")</f>
        <v>Low</v>
      </c>
      <c r="N173" s="6">
        <f t="shared" si="4"/>
        <v>10</v>
      </c>
      <c r="O173" s="6" t="str">
        <f t="shared" si="5"/>
        <v>Alice</v>
      </c>
    </row>
    <row r="174" spans="1:15" x14ac:dyDescent="0.3">
      <c r="A174" s="10">
        <v>173</v>
      </c>
      <c r="B174" s="18">
        <v>45099</v>
      </c>
      <c r="C174" s="6" t="s">
        <v>192</v>
      </c>
      <c r="D174" s="6" t="s">
        <v>2</v>
      </c>
      <c r="E174" s="6" t="s">
        <v>19</v>
      </c>
      <c r="F174" s="6">
        <v>24</v>
      </c>
      <c r="G174" s="6" t="s">
        <v>27</v>
      </c>
      <c r="H174" s="6">
        <v>4</v>
      </c>
      <c r="I174" s="6">
        <v>413</v>
      </c>
      <c r="J174" s="11">
        <v>1652</v>
      </c>
      <c r="M174" s="6" t="str" cm="1">
        <f t="array" ref="M174">_xlfn.IFS(J174&lt;=500,"Low",J174&gt;=1500,"Mid",J174&lt;=1500,"High",TRUE,"no")</f>
        <v>Mid</v>
      </c>
      <c r="N174" s="6">
        <f t="shared" si="4"/>
        <v>2</v>
      </c>
      <c r="O174" s="6" t="str">
        <f t="shared" si="5"/>
        <v>Diana</v>
      </c>
    </row>
    <row r="175" spans="1:15" x14ac:dyDescent="0.3">
      <c r="A175" s="10">
        <v>174</v>
      </c>
      <c r="B175" s="18">
        <v>45100</v>
      </c>
      <c r="C175" s="6" t="s">
        <v>193</v>
      </c>
      <c r="D175" s="6" t="s">
        <v>3</v>
      </c>
      <c r="E175" s="6" t="s">
        <v>14</v>
      </c>
      <c r="F175" s="6">
        <v>58</v>
      </c>
      <c r="G175" s="6" t="s">
        <v>20</v>
      </c>
      <c r="H175" s="6">
        <v>3</v>
      </c>
      <c r="I175" s="6">
        <v>232</v>
      </c>
      <c r="J175" s="11">
        <v>696</v>
      </c>
      <c r="M175" s="6" t="str" cm="1">
        <f t="array" ref="M175">_xlfn.IFS(J175&lt;=500,"Low",J175&gt;=1500,"Mid",J175&lt;=1500,"High",TRUE,"no")</f>
        <v>High</v>
      </c>
      <c r="N175" s="6">
        <f t="shared" si="4"/>
        <v>7</v>
      </c>
      <c r="O175" s="6" t="str">
        <f t="shared" si="5"/>
        <v>Bob</v>
      </c>
    </row>
    <row r="176" spans="1:15" x14ac:dyDescent="0.3">
      <c r="A176" s="10">
        <v>175</v>
      </c>
      <c r="B176" s="18">
        <v>45101</v>
      </c>
      <c r="C176" s="6" t="s">
        <v>194</v>
      </c>
      <c r="D176" s="6" t="s">
        <v>2</v>
      </c>
      <c r="E176" s="6" t="s">
        <v>14</v>
      </c>
      <c r="F176" s="6">
        <v>52</v>
      </c>
      <c r="G176" s="6" t="s">
        <v>23</v>
      </c>
      <c r="H176" s="6">
        <v>2</v>
      </c>
      <c r="I176" s="6">
        <v>137</v>
      </c>
      <c r="J176" s="11">
        <v>274</v>
      </c>
      <c r="M176" s="6" t="str" cm="1">
        <f t="array" ref="M176">_xlfn.IFS(J176&lt;=500,"Low",J176&gt;=1500,"Mid",J176&lt;=1500,"High",TRUE,"no")</f>
        <v>Low</v>
      </c>
      <c r="N176" s="6">
        <f t="shared" si="4"/>
        <v>2</v>
      </c>
      <c r="O176" s="6" t="str">
        <f t="shared" si="5"/>
        <v>Diana</v>
      </c>
    </row>
    <row r="177" spans="1:15" x14ac:dyDescent="0.3">
      <c r="A177" s="10">
        <v>176</v>
      </c>
      <c r="B177" s="18">
        <v>45102</v>
      </c>
      <c r="C177" s="6" t="s">
        <v>195</v>
      </c>
      <c r="D177" s="6" t="s">
        <v>3</v>
      </c>
      <c r="E177" s="6" t="s">
        <v>19</v>
      </c>
      <c r="F177" s="6">
        <v>45</v>
      </c>
      <c r="G177" s="6" t="s">
        <v>15</v>
      </c>
      <c r="H177" s="6">
        <v>1</v>
      </c>
      <c r="I177" s="6">
        <v>109</v>
      </c>
      <c r="J177" s="11">
        <v>109</v>
      </c>
      <c r="M177" s="6" t="str" cm="1">
        <f t="array" ref="M177">_xlfn.IFS(J177&lt;=500,"Low",J177&gt;=1500,"Mid",J177&lt;=1500,"High",TRUE,"no")</f>
        <v>Low</v>
      </c>
      <c r="N177" s="6">
        <f t="shared" si="4"/>
        <v>7</v>
      </c>
      <c r="O177" s="6" t="str">
        <f t="shared" si="5"/>
        <v>Bob</v>
      </c>
    </row>
    <row r="178" spans="1:15" x14ac:dyDescent="0.3">
      <c r="A178" s="10">
        <v>177</v>
      </c>
      <c r="B178" s="18">
        <v>45103</v>
      </c>
      <c r="C178" s="6" t="s">
        <v>196</v>
      </c>
      <c r="D178" s="6" t="s">
        <v>3</v>
      </c>
      <c r="E178" s="6" t="s">
        <v>19</v>
      </c>
      <c r="F178" s="6">
        <v>27</v>
      </c>
      <c r="G178" s="6" t="s">
        <v>23</v>
      </c>
      <c r="H178" s="6">
        <v>3</v>
      </c>
      <c r="I178" s="6">
        <v>57</v>
      </c>
      <c r="J178" s="11">
        <v>171</v>
      </c>
      <c r="M178" s="6" t="str" cm="1">
        <f t="array" ref="M178">_xlfn.IFS(J178&lt;=500,"Low",J178&gt;=1500,"Mid",J178&lt;=1500,"High",TRUE,"no")</f>
        <v>Low</v>
      </c>
      <c r="N178" s="6">
        <f t="shared" si="4"/>
        <v>7</v>
      </c>
      <c r="O178" s="6" t="str">
        <f t="shared" si="5"/>
        <v>Bob</v>
      </c>
    </row>
    <row r="179" spans="1:15" x14ac:dyDescent="0.3">
      <c r="A179" s="10">
        <v>178</v>
      </c>
      <c r="B179" s="18">
        <v>45104</v>
      </c>
      <c r="C179" s="6" t="s">
        <v>197</v>
      </c>
      <c r="D179" s="6" t="s">
        <v>4</v>
      </c>
      <c r="E179" s="6" t="s">
        <v>19</v>
      </c>
      <c r="F179" s="6">
        <v>38</v>
      </c>
      <c r="G179" s="6" t="s">
        <v>23</v>
      </c>
      <c r="H179" s="6">
        <v>3</v>
      </c>
      <c r="I179" s="6">
        <v>121</v>
      </c>
      <c r="J179" s="11">
        <v>363</v>
      </c>
      <c r="M179" s="6" t="str" cm="1">
        <f t="array" ref="M179">_xlfn.IFS(J179&lt;=500,"Low",J179&gt;=1500,"Mid",J179&lt;=1500,"High",TRUE,"no")</f>
        <v>Low</v>
      </c>
      <c r="N179" s="6">
        <f t="shared" si="4"/>
        <v>10</v>
      </c>
      <c r="O179" s="6" t="str">
        <f t="shared" si="5"/>
        <v>Alice</v>
      </c>
    </row>
    <row r="180" spans="1:15" x14ac:dyDescent="0.3">
      <c r="A180" s="10">
        <v>179</v>
      </c>
      <c r="B180" s="18">
        <v>45105</v>
      </c>
      <c r="C180" s="6" t="s">
        <v>198</v>
      </c>
      <c r="D180" s="6" t="s">
        <v>1</v>
      </c>
      <c r="E180" s="6" t="s">
        <v>19</v>
      </c>
      <c r="F180" s="6">
        <v>36</v>
      </c>
      <c r="G180" s="6" t="s">
        <v>15</v>
      </c>
      <c r="H180" s="6">
        <v>5</v>
      </c>
      <c r="I180" s="6">
        <v>365</v>
      </c>
      <c r="J180" s="11">
        <v>1825</v>
      </c>
      <c r="M180" s="6" t="str" cm="1">
        <f t="array" ref="M180">_xlfn.IFS(J180&lt;=500,"Low",J180&gt;=1500,"Mid",J180&lt;=1500,"High",TRUE,"no")</f>
        <v>Mid</v>
      </c>
      <c r="N180" s="6">
        <f t="shared" si="4"/>
        <v>1</v>
      </c>
      <c r="O180" s="6" t="str">
        <f t="shared" si="5"/>
        <v>Charlie</v>
      </c>
    </row>
    <row r="181" spans="1:15" x14ac:dyDescent="0.3">
      <c r="A181" s="10">
        <v>180</v>
      </c>
      <c r="B181" s="18">
        <v>45106</v>
      </c>
      <c r="C181" s="6" t="s">
        <v>199</v>
      </c>
      <c r="D181" s="6" t="s">
        <v>1</v>
      </c>
      <c r="E181" s="6" t="s">
        <v>19</v>
      </c>
      <c r="F181" s="6">
        <v>41</v>
      </c>
      <c r="G181" s="6" t="s">
        <v>27</v>
      </c>
      <c r="H181" s="6">
        <v>2</v>
      </c>
      <c r="I181" s="6">
        <v>58</v>
      </c>
      <c r="J181" s="11">
        <v>116</v>
      </c>
      <c r="M181" s="6" t="str" cm="1">
        <f t="array" ref="M181">_xlfn.IFS(J181&lt;=500,"Low",J181&gt;=1500,"Mid",J181&lt;=1500,"High",TRUE,"no")</f>
        <v>Low</v>
      </c>
      <c r="N181" s="6">
        <f t="shared" si="4"/>
        <v>1</v>
      </c>
      <c r="O181" s="6" t="str">
        <f t="shared" si="5"/>
        <v>Charlie</v>
      </c>
    </row>
    <row r="182" spans="1:15" x14ac:dyDescent="0.3">
      <c r="A182" s="10">
        <v>181</v>
      </c>
      <c r="B182" s="18">
        <v>45107</v>
      </c>
      <c r="C182" s="6" t="s">
        <v>200</v>
      </c>
      <c r="D182" s="6" t="s">
        <v>3</v>
      </c>
      <c r="E182" s="6" t="s">
        <v>14</v>
      </c>
      <c r="F182" s="6">
        <v>18</v>
      </c>
      <c r="G182" s="6" t="s">
        <v>17</v>
      </c>
      <c r="H182" s="6">
        <v>2</v>
      </c>
      <c r="I182" s="6">
        <v>500</v>
      </c>
      <c r="J182" s="11">
        <v>1000</v>
      </c>
      <c r="M182" s="6" t="str" cm="1">
        <f t="array" ref="M182">_xlfn.IFS(J182&lt;=500,"Low",J182&gt;=1500,"Mid",J182&lt;=1500,"High",TRUE,"no")</f>
        <v>High</v>
      </c>
      <c r="N182" s="6">
        <f t="shared" si="4"/>
        <v>7</v>
      </c>
      <c r="O182" s="6" t="str">
        <f t="shared" si="5"/>
        <v>Bob</v>
      </c>
    </row>
    <row r="183" spans="1:15" x14ac:dyDescent="0.3">
      <c r="A183" s="10">
        <v>182</v>
      </c>
      <c r="B183" s="18">
        <v>45108</v>
      </c>
      <c r="C183" s="6" t="s">
        <v>201</v>
      </c>
      <c r="D183" s="6" t="s">
        <v>4</v>
      </c>
      <c r="E183" s="6" t="s">
        <v>14</v>
      </c>
      <c r="F183" s="6">
        <v>40</v>
      </c>
      <c r="G183" s="6" t="s">
        <v>27</v>
      </c>
      <c r="H183" s="6">
        <v>1</v>
      </c>
      <c r="I183" s="6">
        <v>68</v>
      </c>
      <c r="J183" s="11">
        <v>68</v>
      </c>
      <c r="M183" s="6" t="str" cm="1">
        <f t="array" ref="M183">_xlfn.IFS(J183&lt;=500,"Low",J183&gt;=1500,"Mid",J183&lt;=1500,"High",TRUE,"no")</f>
        <v>Low</v>
      </c>
      <c r="N183" s="6">
        <f t="shared" si="4"/>
        <v>10</v>
      </c>
      <c r="O183" s="6" t="str">
        <f t="shared" si="5"/>
        <v>Alice</v>
      </c>
    </row>
    <row r="184" spans="1:15" x14ac:dyDescent="0.3">
      <c r="A184" s="10">
        <v>183</v>
      </c>
      <c r="B184" s="18">
        <v>45109</v>
      </c>
      <c r="C184" s="6" t="s">
        <v>202</v>
      </c>
      <c r="D184" s="6" t="s">
        <v>2</v>
      </c>
      <c r="E184" s="6" t="s">
        <v>19</v>
      </c>
      <c r="F184" s="6">
        <v>41</v>
      </c>
      <c r="G184" s="6" t="s">
        <v>15</v>
      </c>
      <c r="H184" s="6">
        <v>4</v>
      </c>
      <c r="I184" s="6">
        <v>351</v>
      </c>
      <c r="J184" s="11">
        <v>1404</v>
      </c>
      <c r="M184" s="6" t="str" cm="1">
        <f t="array" ref="M184">_xlfn.IFS(J184&lt;=500,"Low",J184&gt;=1500,"Mid",J184&lt;=1500,"High",TRUE,"no")</f>
        <v>High</v>
      </c>
      <c r="N184" s="6">
        <f t="shared" si="4"/>
        <v>2</v>
      </c>
      <c r="O184" s="6" t="str">
        <f t="shared" si="5"/>
        <v>Diana</v>
      </c>
    </row>
    <row r="185" spans="1:15" x14ac:dyDescent="0.3">
      <c r="A185" s="10">
        <v>184</v>
      </c>
      <c r="B185" s="18">
        <v>45110</v>
      </c>
      <c r="C185" s="6" t="s">
        <v>203</v>
      </c>
      <c r="D185" s="6" t="s">
        <v>2</v>
      </c>
      <c r="E185" s="6" t="s">
        <v>14</v>
      </c>
      <c r="F185" s="6">
        <v>33</v>
      </c>
      <c r="G185" s="6" t="s">
        <v>27</v>
      </c>
      <c r="H185" s="6">
        <v>3</v>
      </c>
      <c r="I185" s="6">
        <v>162</v>
      </c>
      <c r="J185" s="11">
        <v>486</v>
      </c>
      <c r="M185" s="6" t="str" cm="1">
        <f t="array" ref="M185">_xlfn.IFS(J185&lt;=500,"Low",J185&gt;=1500,"Mid",J185&lt;=1500,"High",TRUE,"no")</f>
        <v>Low</v>
      </c>
      <c r="N185" s="6">
        <f t="shared" si="4"/>
        <v>2</v>
      </c>
      <c r="O185" s="6" t="str">
        <f t="shared" si="5"/>
        <v>Diana</v>
      </c>
    </row>
    <row r="186" spans="1:15" x14ac:dyDescent="0.3">
      <c r="A186" s="10">
        <v>185</v>
      </c>
      <c r="B186" s="18">
        <v>45111</v>
      </c>
      <c r="C186" s="6" t="s">
        <v>204</v>
      </c>
      <c r="D186" s="6" t="s">
        <v>3</v>
      </c>
      <c r="E186" s="6" t="s">
        <v>19</v>
      </c>
      <c r="F186" s="6">
        <v>55</v>
      </c>
      <c r="G186" s="6" t="s">
        <v>20</v>
      </c>
      <c r="H186" s="6">
        <v>5</v>
      </c>
      <c r="I186" s="6">
        <v>162</v>
      </c>
      <c r="J186" s="11">
        <v>810</v>
      </c>
      <c r="M186" s="6" t="str" cm="1">
        <f t="array" ref="M186">_xlfn.IFS(J186&lt;=500,"Low",J186&gt;=1500,"Mid",J186&lt;=1500,"High",TRUE,"no")</f>
        <v>High</v>
      </c>
      <c r="N186" s="6">
        <f t="shared" si="4"/>
        <v>7</v>
      </c>
      <c r="O186" s="6" t="str">
        <f t="shared" si="5"/>
        <v>Bob</v>
      </c>
    </row>
    <row r="187" spans="1:15" x14ac:dyDescent="0.3">
      <c r="A187" s="10">
        <v>186</v>
      </c>
      <c r="B187" s="18">
        <v>45112</v>
      </c>
      <c r="C187" s="6" t="s">
        <v>205</v>
      </c>
      <c r="D187" s="6" t="s">
        <v>1</v>
      </c>
      <c r="E187" s="6" t="s">
        <v>19</v>
      </c>
      <c r="F187" s="6">
        <v>31</v>
      </c>
      <c r="G187" s="6" t="s">
        <v>23</v>
      </c>
      <c r="H187" s="6">
        <v>5</v>
      </c>
      <c r="I187" s="6">
        <v>481</v>
      </c>
      <c r="J187" s="11">
        <v>2405</v>
      </c>
      <c r="M187" s="6" t="str" cm="1">
        <f t="array" ref="M187">_xlfn.IFS(J187&lt;=500,"Low",J187&gt;=1500,"Mid",J187&lt;=1500,"High",TRUE,"no")</f>
        <v>Mid</v>
      </c>
      <c r="N187" s="6">
        <f t="shared" si="4"/>
        <v>1</v>
      </c>
      <c r="O187" s="6" t="str">
        <f t="shared" si="5"/>
        <v>Charlie</v>
      </c>
    </row>
    <row r="188" spans="1:15" x14ac:dyDescent="0.3">
      <c r="A188" s="10">
        <v>187</v>
      </c>
      <c r="B188" s="18">
        <v>45113</v>
      </c>
      <c r="C188" s="6" t="s">
        <v>206</v>
      </c>
      <c r="D188" s="6" t="s">
        <v>4</v>
      </c>
      <c r="E188" s="6" t="s">
        <v>19</v>
      </c>
      <c r="F188" s="6">
        <v>23</v>
      </c>
      <c r="G188" s="6" t="s">
        <v>27</v>
      </c>
      <c r="H188" s="6">
        <v>5</v>
      </c>
      <c r="I188" s="6">
        <v>258</v>
      </c>
      <c r="J188" s="11">
        <v>1290</v>
      </c>
      <c r="M188" s="6" t="str" cm="1">
        <f t="array" ref="M188">_xlfn.IFS(J188&lt;=500,"Low",J188&gt;=1500,"Mid",J188&lt;=1500,"High",TRUE,"no")</f>
        <v>High</v>
      </c>
      <c r="N188" s="6">
        <f t="shared" si="4"/>
        <v>10</v>
      </c>
      <c r="O188" s="6" t="str">
        <f t="shared" si="5"/>
        <v>Alice</v>
      </c>
    </row>
    <row r="189" spans="1:15" x14ac:dyDescent="0.3">
      <c r="A189" s="10">
        <v>188</v>
      </c>
      <c r="B189" s="18">
        <v>45114</v>
      </c>
      <c r="C189" s="6" t="s">
        <v>207</v>
      </c>
      <c r="D189" s="6" t="s">
        <v>1</v>
      </c>
      <c r="E189" s="6" t="s">
        <v>19</v>
      </c>
      <c r="F189" s="6">
        <v>52</v>
      </c>
      <c r="G189" s="6" t="s">
        <v>23</v>
      </c>
      <c r="H189" s="6">
        <v>5</v>
      </c>
      <c r="I189" s="6">
        <v>52</v>
      </c>
      <c r="J189" s="11">
        <v>260</v>
      </c>
      <c r="M189" s="6" t="str" cm="1">
        <f t="array" ref="M189">_xlfn.IFS(J189&lt;=500,"Low",J189&gt;=1500,"Mid",J189&lt;=1500,"High",TRUE,"no")</f>
        <v>Low</v>
      </c>
      <c r="N189" s="6">
        <f t="shared" si="4"/>
        <v>1</v>
      </c>
      <c r="O189" s="6" t="str">
        <f t="shared" si="5"/>
        <v>Charlie</v>
      </c>
    </row>
    <row r="190" spans="1:15" x14ac:dyDescent="0.3">
      <c r="A190" s="10">
        <v>189</v>
      </c>
      <c r="B190" s="18">
        <v>45115</v>
      </c>
      <c r="C190" s="6" t="s">
        <v>208</v>
      </c>
      <c r="D190" s="6" t="s">
        <v>2</v>
      </c>
      <c r="E190" s="6" t="s">
        <v>19</v>
      </c>
      <c r="F190" s="6">
        <v>57</v>
      </c>
      <c r="G190" s="6" t="s">
        <v>23</v>
      </c>
      <c r="H190" s="6">
        <v>3</v>
      </c>
      <c r="I190" s="6">
        <v>63</v>
      </c>
      <c r="J190" s="11">
        <v>189</v>
      </c>
      <c r="M190" s="6" t="str" cm="1">
        <f t="array" ref="M190">_xlfn.IFS(J190&lt;=500,"Low",J190&gt;=1500,"Mid",J190&lt;=1500,"High",TRUE,"no")</f>
        <v>Low</v>
      </c>
      <c r="N190" s="6">
        <f t="shared" si="4"/>
        <v>2</v>
      </c>
      <c r="O190" s="6" t="str">
        <f t="shared" si="5"/>
        <v>Diana</v>
      </c>
    </row>
    <row r="191" spans="1:15" x14ac:dyDescent="0.3">
      <c r="A191" s="10">
        <v>190</v>
      </c>
      <c r="B191" s="18">
        <v>45116</v>
      </c>
      <c r="C191" s="6" t="s">
        <v>209</v>
      </c>
      <c r="D191" s="6" t="s">
        <v>1</v>
      </c>
      <c r="E191" s="6" t="s">
        <v>19</v>
      </c>
      <c r="F191" s="6">
        <v>39</v>
      </c>
      <c r="G191" s="6" t="s">
        <v>23</v>
      </c>
      <c r="H191" s="6">
        <v>5</v>
      </c>
      <c r="I191" s="6">
        <v>225</v>
      </c>
      <c r="J191" s="11">
        <v>1125</v>
      </c>
      <c r="M191" s="6" t="str" cm="1">
        <f t="array" ref="M191">_xlfn.IFS(J191&lt;=500,"Low",J191&gt;=1500,"Mid",J191&lt;=1500,"High",TRUE,"no")</f>
        <v>High</v>
      </c>
      <c r="N191" s="6">
        <f t="shared" si="4"/>
        <v>1</v>
      </c>
      <c r="O191" s="6" t="str">
        <f t="shared" si="5"/>
        <v>Charlie</v>
      </c>
    </row>
    <row r="192" spans="1:15" x14ac:dyDescent="0.3">
      <c r="A192" s="10">
        <v>191</v>
      </c>
      <c r="B192" s="18">
        <v>45117</v>
      </c>
      <c r="C192" s="6" t="s">
        <v>210</v>
      </c>
      <c r="D192" s="6" t="s">
        <v>2</v>
      </c>
      <c r="E192" s="6" t="s">
        <v>19</v>
      </c>
      <c r="F192" s="6">
        <v>48</v>
      </c>
      <c r="G192" s="6" t="s">
        <v>27</v>
      </c>
      <c r="H192" s="6">
        <v>4</v>
      </c>
      <c r="I192" s="6">
        <v>24</v>
      </c>
      <c r="J192" s="11">
        <v>96</v>
      </c>
      <c r="M192" s="6" t="str" cm="1">
        <f t="array" ref="M192">_xlfn.IFS(J192&lt;=500,"Low",J192&gt;=1500,"Mid",J192&lt;=1500,"High",TRUE,"no")</f>
        <v>Low</v>
      </c>
      <c r="N192" s="6">
        <f t="shared" si="4"/>
        <v>2</v>
      </c>
      <c r="O192" s="6" t="str">
        <f t="shared" si="5"/>
        <v>Diana</v>
      </c>
    </row>
    <row r="193" spans="1:15" x14ac:dyDescent="0.3">
      <c r="A193" s="10">
        <v>192</v>
      </c>
      <c r="B193" s="18">
        <v>45118</v>
      </c>
      <c r="C193" s="6" t="s">
        <v>211</v>
      </c>
      <c r="D193" s="6" t="s">
        <v>4</v>
      </c>
      <c r="E193" s="6" t="s">
        <v>19</v>
      </c>
      <c r="F193" s="6">
        <v>38</v>
      </c>
      <c r="G193" s="6" t="s">
        <v>23</v>
      </c>
      <c r="H193" s="6">
        <v>2</v>
      </c>
      <c r="I193" s="6">
        <v>292</v>
      </c>
      <c r="J193" s="11">
        <v>584</v>
      </c>
      <c r="M193" s="6" t="str" cm="1">
        <f t="array" ref="M193">_xlfn.IFS(J193&lt;=500,"Low",J193&gt;=1500,"Mid",J193&lt;=1500,"High",TRUE,"no")</f>
        <v>High</v>
      </c>
      <c r="N193" s="6">
        <f t="shared" si="4"/>
        <v>10</v>
      </c>
      <c r="O193" s="6" t="str">
        <f t="shared" si="5"/>
        <v>Alice</v>
      </c>
    </row>
    <row r="194" spans="1:15" x14ac:dyDescent="0.3">
      <c r="A194" s="10">
        <v>193</v>
      </c>
      <c r="B194" s="18">
        <v>45119</v>
      </c>
      <c r="C194" s="6" t="s">
        <v>212</v>
      </c>
      <c r="D194" s="6" t="s">
        <v>4</v>
      </c>
      <c r="E194" s="6" t="s">
        <v>19</v>
      </c>
      <c r="F194" s="6">
        <v>28</v>
      </c>
      <c r="G194" s="6" t="s">
        <v>27</v>
      </c>
      <c r="H194" s="6">
        <v>5</v>
      </c>
      <c r="I194" s="6">
        <v>167</v>
      </c>
      <c r="J194" s="11">
        <v>835</v>
      </c>
      <c r="M194" s="6" t="str" cm="1">
        <f t="array" ref="M194">_xlfn.IFS(J194&lt;=500,"Low",J194&gt;=1500,"Mid",J194&lt;=1500,"High",TRUE,"no")</f>
        <v>High</v>
      </c>
      <c r="N194" s="6">
        <f t="shared" si="4"/>
        <v>10</v>
      </c>
      <c r="O194" s="6" t="str">
        <f t="shared" si="5"/>
        <v>Alice</v>
      </c>
    </row>
    <row r="195" spans="1:15" x14ac:dyDescent="0.3">
      <c r="A195" s="10">
        <v>194</v>
      </c>
      <c r="B195" s="18">
        <v>45120</v>
      </c>
      <c r="C195" s="6" t="s">
        <v>213</v>
      </c>
      <c r="D195" s="6" t="s">
        <v>3</v>
      </c>
      <c r="E195" s="6" t="s">
        <v>14</v>
      </c>
      <c r="F195" s="6">
        <v>39</v>
      </c>
      <c r="G195" s="6" t="s">
        <v>20</v>
      </c>
      <c r="H195" s="6">
        <v>4</v>
      </c>
      <c r="I195" s="6">
        <v>491</v>
      </c>
      <c r="J195" s="11">
        <v>1964</v>
      </c>
      <c r="M195" s="6" t="str" cm="1">
        <f t="array" ref="M195">_xlfn.IFS(J195&lt;=500,"Low",J195&gt;=1500,"Mid",J195&lt;=1500,"High",TRUE,"no")</f>
        <v>Mid</v>
      </c>
      <c r="N195" s="6">
        <f t="shared" ref="N195:N258" si="6">MATCH(D195,$D$2:$D$1001,0)</f>
        <v>7</v>
      </c>
      <c r="O195" s="6" t="str">
        <f t="shared" ref="O195:O258" si="7">INDEX(D195:D1194,MATCH($D$2,$D$2:$D$1001,0))</f>
        <v>Bob</v>
      </c>
    </row>
    <row r="196" spans="1:15" x14ac:dyDescent="0.3">
      <c r="A196" s="10">
        <v>195</v>
      </c>
      <c r="B196" s="18">
        <v>45121</v>
      </c>
      <c r="C196" s="6" t="s">
        <v>214</v>
      </c>
      <c r="D196" s="6" t="s">
        <v>3</v>
      </c>
      <c r="E196" s="6" t="s">
        <v>14</v>
      </c>
      <c r="F196" s="6">
        <v>55</v>
      </c>
      <c r="G196" s="6" t="s">
        <v>15</v>
      </c>
      <c r="H196" s="6">
        <v>1</v>
      </c>
      <c r="I196" s="6">
        <v>140</v>
      </c>
      <c r="J196" s="11">
        <v>140</v>
      </c>
      <c r="M196" s="6" t="str" cm="1">
        <f t="array" ref="M196">_xlfn.IFS(J196&lt;=500,"Low",J196&gt;=1500,"Mid",J196&lt;=1500,"High",TRUE,"no")</f>
        <v>Low</v>
      </c>
      <c r="N196" s="6">
        <f t="shared" si="6"/>
        <v>7</v>
      </c>
      <c r="O196" s="6" t="str">
        <f t="shared" si="7"/>
        <v>Bob</v>
      </c>
    </row>
    <row r="197" spans="1:15" x14ac:dyDescent="0.3">
      <c r="A197" s="10">
        <v>196</v>
      </c>
      <c r="B197" s="18">
        <v>45122</v>
      </c>
      <c r="C197" s="6" t="s">
        <v>215</v>
      </c>
      <c r="D197" s="6" t="s">
        <v>1</v>
      </c>
      <c r="E197" s="6" t="s">
        <v>19</v>
      </c>
      <c r="F197" s="6">
        <v>57</v>
      </c>
      <c r="G197" s="6" t="s">
        <v>15</v>
      </c>
      <c r="H197" s="6">
        <v>5</v>
      </c>
      <c r="I197" s="6">
        <v>116</v>
      </c>
      <c r="J197" s="11">
        <v>580</v>
      </c>
      <c r="M197" s="6" t="str" cm="1">
        <f t="array" ref="M197">_xlfn.IFS(J197&lt;=500,"Low",J197&gt;=1500,"Mid",J197&lt;=1500,"High",TRUE,"no")</f>
        <v>High</v>
      </c>
      <c r="N197" s="6">
        <f t="shared" si="6"/>
        <v>1</v>
      </c>
      <c r="O197" s="6" t="str">
        <f t="shared" si="7"/>
        <v>Charlie</v>
      </c>
    </row>
    <row r="198" spans="1:15" x14ac:dyDescent="0.3">
      <c r="A198" s="10">
        <v>197</v>
      </c>
      <c r="B198" s="18">
        <v>45123</v>
      </c>
      <c r="C198" s="6" t="s">
        <v>216</v>
      </c>
      <c r="D198" s="6" t="s">
        <v>4</v>
      </c>
      <c r="E198" s="6" t="s">
        <v>19</v>
      </c>
      <c r="F198" s="6">
        <v>32</v>
      </c>
      <c r="G198" s="6" t="s">
        <v>17</v>
      </c>
      <c r="H198" s="6">
        <v>2</v>
      </c>
      <c r="I198" s="6">
        <v>43</v>
      </c>
      <c r="J198" s="11">
        <v>86</v>
      </c>
      <c r="M198" s="6" t="str" cm="1">
        <f t="array" ref="M198">_xlfn.IFS(J198&lt;=500,"Low",J198&gt;=1500,"Mid",J198&lt;=1500,"High",TRUE,"no")</f>
        <v>Low</v>
      </c>
      <c r="N198" s="6">
        <f t="shared" si="6"/>
        <v>10</v>
      </c>
      <c r="O198" s="6" t="str">
        <f t="shared" si="7"/>
        <v>Alice</v>
      </c>
    </row>
    <row r="199" spans="1:15" x14ac:dyDescent="0.3">
      <c r="A199" s="10">
        <v>198</v>
      </c>
      <c r="B199" s="18">
        <v>45124</v>
      </c>
      <c r="C199" s="6" t="s">
        <v>217</v>
      </c>
      <c r="D199" s="6" t="s">
        <v>4</v>
      </c>
      <c r="E199" s="6" t="s">
        <v>19</v>
      </c>
      <c r="F199" s="6">
        <v>29</v>
      </c>
      <c r="G199" s="6" t="s">
        <v>27</v>
      </c>
      <c r="H199" s="6">
        <v>2</v>
      </c>
      <c r="I199" s="6">
        <v>111</v>
      </c>
      <c r="J199" s="11">
        <v>222</v>
      </c>
      <c r="M199" s="6" t="str" cm="1">
        <f t="array" ref="M199">_xlfn.IFS(J199&lt;=500,"Low",J199&gt;=1500,"Mid",J199&lt;=1500,"High",TRUE,"no")</f>
        <v>Low</v>
      </c>
      <c r="N199" s="6">
        <f t="shared" si="6"/>
        <v>10</v>
      </c>
      <c r="O199" s="6" t="str">
        <f t="shared" si="7"/>
        <v>Alice</v>
      </c>
    </row>
    <row r="200" spans="1:15" x14ac:dyDescent="0.3">
      <c r="A200" s="10">
        <v>199</v>
      </c>
      <c r="B200" s="18">
        <v>45125</v>
      </c>
      <c r="C200" s="6" t="s">
        <v>218</v>
      </c>
      <c r="D200" s="6" t="s">
        <v>3</v>
      </c>
      <c r="E200" s="6" t="s">
        <v>14</v>
      </c>
      <c r="F200" s="6">
        <v>25</v>
      </c>
      <c r="G200" s="6" t="s">
        <v>15</v>
      </c>
      <c r="H200" s="6">
        <v>5</v>
      </c>
      <c r="I200" s="6">
        <v>459</v>
      </c>
      <c r="J200" s="11">
        <v>2295</v>
      </c>
      <c r="M200" s="6" t="str" cm="1">
        <f t="array" ref="M200">_xlfn.IFS(J200&lt;=500,"Low",J200&gt;=1500,"Mid",J200&lt;=1500,"High",TRUE,"no")</f>
        <v>Mid</v>
      </c>
      <c r="N200" s="6">
        <f t="shared" si="6"/>
        <v>7</v>
      </c>
      <c r="O200" s="6" t="str">
        <f t="shared" si="7"/>
        <v>Bob</v>
      </c>
    </row>
    <row r="201" spans="1:15" x14ac:dyDescent="0.3">
      <c r="A201" s="10">
        <v>200</v>
      </c>
      <c r="B201" s="18">
        <v>45126</v>
      </c>
      <c r="C201" s="6" t="s">
        <v>219</v>
      </c>
      <c r="D201" s="6" t="s">
        <v>2</v>
      </c>
      <c r="E201" s="6" t="s">
        <v>14</v>
      </c>
      <c r="F201" s="6">
        <v>28</v>
      </c>
      <c r="G201" s="6" t="s">
        <v>17</v>
      </c>
      <c r="H201" s="6">
        <v>2</v>
      </c>
      <c r="I201" s="6">
        <v>333</v>
      </c>
      <c r="J201" s="11">
        <v>666</v>
      </c>
      <c r="M201" s="6" t="str" cm="1">
        <f t="array" ref="M201">_xlfn.IFS(J201&lt;=500,"Low",J201&gt;=1500,"Mid",J201&lt;=1500,"High",TRUE,"no")</f>
        <v>High</v>
      </c>
      <c r="N201" s="6">
        <f t="shared" si="6"/>
        <v>2</v>
      </c>
      <c r="O201" s="6" t="str">
        <f t="shared" si="7"/>
        <v>Diana</v>
      </c>
    </row>
    <row r="202" spans="1:15" x14ac:dyDescent="0.3">
      <c r="A202" s="10">
        <v>201</v>
      </c>
      <c r="B202" s="18">
        <v>45127</v>
      </c>
      <c r="C202" s="6" t="s">
        <v>220</v>
      </c>
      <c r="D202" s="6" t="s">
        <v>1</v>
      </c>
      <c r="E202" s="6" t="s">
        <v>19</v>
      </c>
      <c r="F202" s="6">
        <v>39</v>
      </c>
      <c r="G202" s="6" t="s">
        <v>27</v>
      </c>
      <c r="H202" s="6">
        <v>1</v>
      </c>
      <c r="I202" s="6">
        <v>101</v>
      </c>
      <c r="J202" s="11">
        <v>101</v>
      </c>
      <c r="M202" s="6" t="str" cm="1">
        <f t="array" ref="M202">_xlfn.IFS(J202&lt;=500,"Low",J202&gt;=1500,"Mid",J202&lt;=1500,"High",TRUE,"no")</f>
        <v>Low</v>
      </c>
      <c r="N202" s="6">
        <f t="shared" si="6"/>
        <v>1</v>
      </c>
      <c r="O202" s="6" t="str">
        <f t="shared" si="7"/>
        <v>Charlie</v>
      </c>
    </row>
    <row r="203" spans="1:15" x14ac:dyDescent="0.3">
      <c r="A203" s="10">
        <v>202</v>
      </c>
      <c r="B203" s="18">
        <v>45128</v>
      </c>
      <c r="C203" s="6" t="s">
        <v>221</v>
      </c>
      <c r="D203" s="6" t="s">
        <v>1</v>
      </c>
      <c r="E203" s="6" t="s">
        <v>19</v>
      </c>
      <c r="F203" s="6">
        <v>18</v>
      </c>
      <c r="G203" s="6" t="s">
        <v>23</v>
      </c>
      <c r="H203" s="6">
        <v>1</v>
      </c>
      <c r="I203" s="6">
        <v>308</v>
      </c>
      <c r="J203" s="11">
        <v>308</v>
      </c>
      <c r="M203" s="6" t="str" cm="1">
        <f t="array" ref="M203">_xlfn.IFS(J203&lt;=500,"Low",J203&gt;=1500,"Mid",J203&lt;=1500,"High",TRUE,"no")</f>
        <v>Low</v>
      </c>
      <c r="N203" s="6">
        <f t="shared" si="6"/>
        <v>1</v>
      </c>
      <c r="O203" s="6" t="str">
        <f t="shared" si="7"/>
        <v>Charlie</v>
      </c>
    </row>
    <row r="204" spans="1:15" x14ac:dyDescent="0.3">
      <c r="A204" s="10">
        <v>203</v>
      </c>
      <c r="B204" s="18">
        <v>45129</v>
      </c>
      <c r="C204" s="6" t="s">
        <v>222</v>
      </c>
      <c r="D204" s="6" t="s">
        <v>3</v>
      </c>
      <c r="E204" s="6" t="s">
        <v>19</v>
      </c>
      <c r="F204" s="6">
        <v>49</v>
      </c>
      <c r="G204" s="6" t="s">
        <v>27</v>
      </c>
      <c r="H204" s="6">
        <v>2</v>
      </c>
      <c r="I204" s="6">
        <v>256</v>
      </c>
      <c r="J204" s="11">
        <v>512</v>
      </c>
      <c r="M204" s="6" t="str" cm="1">
        <f t="array" ref="M204">_xlfn.IFS(J204&lt;=500,"Low",J204&gt;=1500,"Mid",J204&lt;=1500,"High",TRUE,"no")</f>
        <v>High</v>
      </c>
      <c r="N204" s="6">
        <f t="shared" si="6"/>
        <v>7</v>
      </c>
      <c r="O204" s="6" t="str">
        <f t="shared" si="7"/>
        <v>Bob</v>
      </c>
    </row>
    <row r="205" spans="1:15" x14ac:dyDescent="0.3">
      <c r="A205" s="10">
        <v>204</v>
      </c>
      <c r="B205" s="18">
        <v>45130</v>
      </c>
      <c r="C205" s="6" t="s">
        <v>223</v>
      </c>
      <c r="D205" s="6" t="s">
        <v>4</v>
      </c>
      <c r="E205" s="6" t="s">
        <v>14</v>
      </c>
      <c r="F205" s="6">
        <v>29</v>
      </c>
      <c r="G205" s="6" t="s">
        <v>20</v>
      </c>
      <c r="H205" s="6">
        <v>1</v>
      </c>
      <c r="I205" s="6">
        <v>169</v>
      </c>
      <c r="J205" s="11">
        <v>169</v>
      </c>
      <c r="M205" s="6" t="str" cm="1">
        <f t="array" ref="M205">_xlfn.IFS(J205&lt;=500,"Low",J205&gt;=1500,"Mid",J205&lt;=1500,"High",TRUE,"no")</f>
        <v>Low</v>
      </c>
      <c r="N205" s="6">
        <f t="shared" si="6"/>
        <v>10</v>
      </c>
      <c r="O205" s="6" t="str">
        <f t="shared" si="7"/>
        <v>Alice</v>
      </c>
    </row>
    <row r="206" spans="1:15" x14ac:dyDescent="0.3">
      <c r="A206" s="10">
        <v>205</v>
      </c>
      <c r="B206" s="18">
        <v>45131</v>
      </c>
      <c r="C206" s="6" t="s">
        <v>224</v>
      </c>
      <c r="D206" s="6" t="s">
        <v>3</v>
      </c>
      <c r="E206" s="6" t="s">
        <v>14</v>
      </c>
      <c r="F206" s="6">
        <v>55</v>
      </c>
      <c r="G206" s="6" t="s">
        <v>27</v>
      </c>
      <c r="H206" s="6">
        <v>3</v>
      </c>
      <c r="I206" s="6">
        <v>384</v>
      </c>
      <c r="J206" s="11">
        <v>1152</v>
      </c>
      <c r="M206" s="6" t="str" cm="1">
        <f t="array" ref="M206">_xlfn.IFS(J206&lt;=500,"Low",J206&gt;=1500,"Mid",J206&lt;=1500,"High",TRUE,"no")</f>
        <v>High</v>
      </c>
      <c r="N206" s="6">
        <f t="shared" si="6"/>
        <v>7</v>
      </c>
      <c r="O206" s="6" t="str">
        <f t="shared" si="7"/>
        <v>Bob</v>
      </c>
    </row>
    <row r="207" spans="1:15" x14ac:dyDescent="0.3">
      <c r="A207" s="10">
        <v>206</v>
      </c>
      <c r="B207" s="18">
        <v>45132</v>
      </c>
      <c r="C207" s="6" t="s">
        <v>225</v>
      </c>
      <c r="D207" s="6" t="s">
        <v>3</v>
      </c>
      <c r="E207" s="6" t="s">
        <v>14</v>
      </c>
      <c r="F207" s="6">
        <v>37</v>
      </c>
      <c r="G207" s="6" t="s">
        <v>15</v>
      </c>
      <c r="H207" s="6">
        <v>5</v>
      </c>
      <c r="I207" s="6">
        <v>320</v>
      </c>
      <c r="J207" s="11">
        <v>1600</v>
      </c>
      <c r="M207" s="6" t="str" cm="1">
        <f t="array" ref="M207">_xlfn.IFS(J207&lt;=500,"Low",J207&gt;=1500,"Mid",J207&lt;=1500,"High",TRUE,"no")</f>
        <v>Mid</v>
      </c>
      <c r="N207" s="6">
        <f t="shared" si="6"/>
        <v>7</v>
      </c>
      <c r="O207" s="6" t="str">
        <f t="shared" si="7"/>
        <v>Bob</v>
      </c>
    </row>
    <row r="208" spans="1:15" x14ac:dyDescent="0.3">
      <c r="A208" s="10">
        <v>207</v>
      </c>
      <c r="B208" s="18">
        <v>45133</v>
      </c>
      <c r="C208" s="6" t="s">
        <v>226</v>
      </c>
      <c r="D208" s="6" t="s">
        <v>3</v>
      </c>
      <c r="E208" s="6" t="s">
        <v>14</v>
      </c>
      <c r="F208" s="6">
        <v>41</v>
      </c>
      <c r="G208" s="6" t="s">
        <v>17</v>
      </c>
      <c r="H208" s="6">
        <v>4</v>
      </c>
      <c r="I208" s="6">
        <v>43</v>
      </c>
      <c r="J208" s="11">
        <v>172</v>
      </c>
      <c r="M208" s="6" t="str" cm="1">
        <f t="array" ref="M208">_xlfn.IFS(J208&lt;=500,"Low",J208&gt;=1500,"Mid",J208&lt;=1500,"High",TRUE,"no")</f>
        <v>Low</v>
      </c>
      <c r="N208" s="6">
        <f t="shared" si="6"/>
        <v>7</v>
      </c>
      <c r="O208" s="6" t="str">
        <f t="shared" si="7"/>
        <v>Bob</v>
      </c>
    </row>
    <row r="209" spans="1:15" x14ac:dyDescent="0.3">
      <c r="A209" s="10">
        <v>208</v>
      </c>
      <c r="B209" s="18">
        <v>45134</v>
      </c>
      <c r="C209" s="6" t="s">
        <v>227</v>
      </c>
      <c r="D209" s="6" t="s">
        <v>3</v>
      </c>
      <c r="E209" s="6" t="s">
        <v>14</v>
      </c>
      <c r="F209" s="6">
        <v>42</v>
      </c>
      <c r="G209" s="6" t="s">
        <v>15</v>
      </c>
      <c r="H209" s="6">
        <v>5</v>
      </c>
      <c r="I209" s="6">
        <v>118</v>
      </c>
      <c r="J209" s="11">
        <v>590</v>
      </c>
      <c r="M209" s="6" t="str" cm="1">
        <f t="array" ref="M209">_xlfn.IFS(J209&lt;=500,"Low",J209&gt;=1500,"Mid",J209&lt;=1500,"High",TRUE,"no")</f>
        <v>High</v>
      </c>
      <c r="N209" s="6">
        <f t="shared" si="6"/>
        <v>7</v>
      </c>
      <c r="O209" s="6" t="str">
        <f t="shared" si="7"/>
        <v>Bob</v>
      </c>
    </row>
    <row r="210" spans="1:15" x14ac:dyDescent="0.3">
      <c r="A210" s="10">
        <v>209</v>
      </c>
      <c r="B210" s="18">
        <v>45135</v>
      </c>
      <c r="C210" s="6" t="s">
        <v>228</v>
      </c>
      <c r="D210" s="6" t="s">
        <v>2</v>
      </c>
      <c r="E210" s="6" t="s">
        <v>19</v>
      </c>
      <c r="F210" s="6">
        <v>42</v>
      </c>
      <c r="G210" s="6" t="s">
        <v>15</v>
      </c>
      <c r="H210" s="6">
        <v>1</v>
      </c>
      <c r="I210" s="6">
        <v>211</v>
      </c>
      <c r="J210" s="11">
        <v>211</v>
      </c>
      <c r="M210" s="6" t="str" cm="1">
        <f t="array" ref="M210">_xlfn.IFS(J210&lt;=500,"Low",J210&gt;=1500,"Mid",J210&lt;=1500,"High",TRUE,"no")</f>
        <v>Low</v>
      </c>
      <c r="N210" s="6">
        <f t="shared" si="6"/>
        <v>2</v>
      </c>
      <c r="O210" s="6" t="str">
        <f t="shared" si="7"/>
        <v>Diana</v>
      </c>
    </row>
    <row r="211" spans="1:15" x14ac:dyDescent="0.3">
      <c r="A211" s="10">
        <v>210</v>
      </c>
      <c r="B211" s="18">
        <v>45136</v>
      </c>
      <c r="C211" s="6" t="s">
        <v>229</v>
      </c>
      <c r="D211" s="6" t="s">
        <v>2</v>
      </c>
      <c r="E211" s="6" t="s">
        <v>14</v>
      </c>
      <c r="F211" s="6">
        <v>44</v>
      </c>
      <c r="G211" s="6" t="s">
        <v>23</v>
      </c>
      <c r="H211" s="6">
        <v>5</v>
      </c>
      <c r="I211" s="6">
        <v>239</v>
      </c>
      <c r="J211" s="11">
        <v>1195</v>
      </c>
      <c r="M211" s="6" t="str" cm="1">
        <f t="array" ref="M211">_xlfn.IFS(J211&lt;=500,"Low",J211&gt;=1500,"Mid",J211&lt;=1500,"High",TRUE,"no")</f>
        <v>High</v>
      </c>
      <c r="N211" s="6">
        <f t="shared" si="6"/>
        <v>2</v>
      </c>
      <c r="O211" s="6" t="str">
        <f t="shared" si="7"/>
        <v>Diana</v>
      </c>
    </row>
    <row r="212" spans="1:15" x14ac:dyDescent="0.3">
      <c r="A212" s="10">
        <v>211</v>
      </c>
      <c r="B212" s="18">
        <v>45137</v>
      </c>
      <c r="C212" s="6" t="s">
        <v>230</v>
      </c>
      <c r="D212" s="6" t="s">
        <v>4</v>
      </c>
      <c r="E212" s="6" t="s">
        <v>14</v>
      </c>
      <c r="F212" s="6">
        <v>53</v>
      </c>
      <c r="G212" s="6" t="s">
        <v>27</v>
      </c>
      <c r="H212" s="6">
        <v>2</v>
      </c>
      <c r="I212" s="6">
        <v>165</v>
      </c>
      <c r="J212" s="11">
        <v>330</v>
      </c>
      <c r="M212" s="6" t="str" cm="1">
        <f t="array" ref="M212">_xlfn.IFS(J212&lt;=500,"Low",J212&gt;=1500,"Mid",J212&lt;=1500,"High",TRUE,"no")</f>
        <v>Low</v>
      </c>
      <c r="N212" s="6">
        <f t="shared" si="6"/>
        <v>10</v>
      </c>
      <c r="O212" s="6" t="str">
        <f t="shared" si="7"/>
        <v>Alice</v>
      </c>
    </row>
    <row r="213" spans="1:15" x14ac:dyDescent="0.3">
      <c r="A213" s="10">
        <v>212</v>
      </c>
      <c r="B213" s="18">
        <v>45138</v>
      </c>
      <c r="C213" s="6" t="s">
        <v>231</v>
      </c>
      <c r="D213" s="6" t="s">
        <v>3</v>
      </c>
      <c r="E213" s="6" t="s">
        <v>19</v>
      </c>
      <c r="F213" s="6">
        <v>50</v>
      </c>
      <c r="G213" s="6" t="s">
        <v>20</v>
      </c>
      <c r="H213" s="6">
        <v>2</v>
      </c>
      <c r="I213" s="6">
        <v>249</v>
      </c>
      <c r="J213" s="11">
        <v>498</v>
      </c>
      <c r="M213" s="6" t="str" cm="1">
        <f t="array" ref="M213">_xlfn.IFS(J213&lt;=500,"Low",J213&gt;=1500,"Mid",J213&lt;=1500,"High",TRUE,"no")</f>
        <v>Low</v>
      </c>
      <c r="N213" s="6">
        <f t="shared" si="6"/>
        <v>7</v>
      </c>
      <c r="O213" s="6" t="str">
        <f t="shared" si="7"/>
        <v>Bob</v>
      </c>
    </row>
    <row r="214" spans="1:15" x14ac:dyDescent="0.3">
      <c r="A214" s="10">
        <v>213</v>
      </c>
      <c r="B214" s="18">
        <v>45139</v>
      </c>
      <c r="C214" s="6" t="s">
        <v>232</v>
      </c>
      <c r="D214" s="6" t="s">
        <v>2</v>
      </c>
      <c r="E214" s="6" t="s">
        <v>19</v>
      </c>
      <c r="F214" s="6">
        <v>45</v>
      </c>
      <c r="G214" s="6" t="s">
        <v>23</v>
      </c>
      <c r="H214" s="6">
        <v>3</v>
      </c>
      <c r="I214" s="6">
        <v>150</v>
      </c>
      <c r="J214" s="11">
        <v>450</v>
      </c>
      <c r="M214" s="6" t="str" cm="1">
        <f t="array" ref="M214">_xlfn.IFS(J214&lt;=500,"Low",J214&gt;=1500,"Mid",J214&lt;=1500,"High",TRUE,"no")</f>
        <v>Low</v>
      </c>
      <c r="N214" s="6">
        <f t="shared" si="6"/>
        <v>2</v>
      </c>
      <c r="O214" s="6" t="str">
        <f t="shared" si="7"/>
        <v>Diana</v>
      </c>
    </row>
    <row r="215" spans="1:15" x14ac:dyDescent="0.3">
      <c r="A215" s="10">
        <v>214</v>
      </c>
      <c r="B215" s="18">
        <v>45140</v>
      </c>
      <c r="C215" s="6" t="s">
        <v>233</v>
      </c>
      <c r="D215" s="6" t="s">
        <v>4</v>
      </c>
      <c r="E215" s="6" t="s">
        <v>14</v>
      </c>
      <c r="F215" s="6">
        <v>22</v>
      </c>
      <c r="G215" s="6" t="s">
        <v>17</v>
      </c>
      <c r="H215" s="6">
        <v>4</v>
      </c>
      <c r="I215" s="6">
        <v>481</v>
      </c>
      <c r="J215" s="11">
        <v>1924</v>
      </c>
      <c r="M215" s="6" t="str" cm="1">
        <f t="array" ref="M215">_xlfn.IFS(J215&lt;=500,"Low",J215&gt;=1500,"Mid",J215&lt;=1500,"High",TRUE,"no")</f>
        <v>Mid</v>
      </c>
      <c r="N215" s="6">
        <f t="shared" si="6"/>
        <v>10</v>
      </c>
      <c r="O215" s="6" t="str">
        <f t="shared" si="7"/>
        <v>Alice</v>
      </c>
    </row>
    <row r="216" spans="1:15" x14ac:dyDescent="0.3">
      <c r="A216" s="10">
        <v>215</v>
      </c>
      <c r="B216" s="18">
        <v>45141</v>
      </c>
      <c r="C216" s="6" t="s">
        <v>234</v>
      </c>
      <c r="D216" s="6" t="s">
        <v>3</v>
      </c>
      <c r="E216" s="6" t="s">
        <v>19</v>
      </c>
      <c r="F216" s="6">
        <v>34</v>
      </c>
      <c r="G216" s="6" t="s">
        <v>15</v>
      </c>
      <c r="H216" s="6">
        <v>3</v>
      </c>
      <c r="I216" s="6">
        <v>285</v>
      </c>
      <c r="J216" s="11">
        <v>855</v>
      </c>
      <c r="M216" s="6" t="str" cm="1">
        <f t="array" ref="M216">_xlfn.IFS(J216&lt;=500,"Low",J216&gt;=1500,"Mid",J216&lt;=1500,"High",TRUE,"no")</f>
        <v>High</v>
      </c>
      <c r="N216" s="6">
        <f t="shared" si="6"/>
        <v>7</v>
      </c>
      <c r="O216" s="6" t="str">
        <f t="shared" si="7"/>
        <v>Bob</v>
      </c>
    </row>
    <row r="217" spans="1:15" x14ac:dyDescent="0.3">
      <c r="A217" s="10">
        <v>216</v>
      </c>
      <c r="B217" s="18">
        <v>45142</v>
      </c>
      <c r="C217" s="6" t="s">
        <v>235</v>
      </c>
      <c r="D217" s="6" t="s">
        <v>1</v>
      </c>
      <c r="E217" s="6" t="s">
        <v>19</v>
      </c>
      <c r="F217" s="6">
        <v>41</v>
      </c>
      <c r="G217" s="6" t="s">
        <v>17</v>
      </c>
      <c r="H217" s="6">
        <v>4</v>
      </c>
      <c r="I217" s="6">
        <v>88</v>
      </c>
      <c r="J217" s="11">
        <v>352</v>
      </c>
      <c r="M217" s="6" t="str" cm="1">
        <f t="array" ref="M217">_xlfn.IFS(J217&lt;=500,"Low",J217&gt;=1500,"Mid",J217&lt;=1500,"High",TRUE,"no")</f>
        <v>Low</v>
      </c>
      <c r="N217" s="6">
        <f t="shared" si="6"/>
        <v>1</v>
      </c>
      <c r="O217" s="6" t="str">
        <f t="shared" si="7"/>
        <v>Charlie</v>
      </c>
    </row>
    <row r="218" spans="1:15" x14ac:dyDescent="0.3">
      <c r="A218" s="10">
        <v>217</v>
      </c>
      <c r="B218" s="18">
        <v>45143</v>
      </c>
      <c r="C218" s="6" t="s">
        <v>236</v>
      </c>
      <c r="D218" s="6" t="s">
        <v>2</v>
      </c>
      <c r="E218" s="6" t="s">
        <v>14</v>
      </c>
      <c r="F218" s="6">
        <v>27</v>
      </c>
      <c r="G218" s="6" t="s">
        <v>17</v>
      </c>
      <c r="H218" s="6">
        <v>5</v>
      </c>
      <c r="I218" s="6">
        <v>450</v>
      </c>
      <c r="J218" s="11">
        <v>2250</v>
      </c>
      <c r="M218" s="6" t="str" cm="1">
        <f t="array" ref="M218">_xlfn.IFS(J218&lt;=500,"Low",J218&gt;=1500,"Mid",J218&lt;=1500,"High",TRUE,"no")</f>
        <v>Mid</v>
      </c>
      <c r="N218" s="6">
        <f t="shared" si="6"/>
        <v>2</v>
      </c>
      <c r="O218" s="6" t="str">
        <f t="shared" si="7"/>
        <v>Diana</v>
      </c>
    </row>
    <row r="219" spans="1:15" x14ac:dyDescent="0.3">
      <c r="A219" s="10">
        <v>218</v>
      </c>
      <c r="B219" s="18">
        <v>45144</v>
      </c>
      <c r="C219" s="6" t="s">
        <v>237</v>
      </c>
      <c r="D219" s="6" t="s">
        <v>4</v>
      </c>
      <c r="E219" s="6" t="s">
        <v>19</v>
      </c>
      <c r="F219" s="6">
        <v>19</v>
      </c>
      <c r="G219" s="6" t="s">
        <v>15</v>
      </c>
      <c r="H219" s="6">
        <v>4</v>
      </c>
      <c r="I219" s="6">
        <v>158</v>
      </c>
      <c r="J219" s="11">
        <v>632</v>
      </c>
      <c r="M219" s="6" t="str" cm="1">
        <f t="array" ref="M219">_xlfn.IFS(J219&lt;=500,"Low",J219&gt;=1500,"Mid",J219&lt;=1500,"High",TRUE,"no")</f>
        <v>High</v>
      </c>
      <c r="N219" s="6">
        <f t="shared" si="6"/>
        <v>10</v>
      </c>
      <c r="O219" s="6" t="str">
        <f t="shared" si="7"/>
        <v>Alice</v>
      </c>
    </row>
    <row r="220" spans="1:15" x14ac:dyDescent="0.3">
      <c r="A220" s="10">
        <v>219</v>
      </c>
      <c r="B220" s="18">
        <v>45145</v>
      </c>
      <c r="C220" s="6" t="s">
        <v>238</v>
      </c>
      <c r="D220" s="6" t="s">
        <v>1</v>
      </c>
      <c r="E220" s="6" t="s">
        <v>14</v>
      </c>
      <c r="F220" s="6">
        <v>21</v>
      </c>
      <c r="G220" s="6" t="s">
        <v>23</v>
      </c>
      <c r="H220" s="6">
        <v>2</v>
      </c>
      <c r="I220" s="6">
        <v>27</v>
      </c>
      <c r="J220" s="11">
        <v>54</v>
      </c>
      <c r="M220" s="6" t="str" cm="1">
        <f t="array" ref="M220">_xlfn.IFS(J220&lt;=500,"Low",J220&gt;=1500,"Mid",J220&lt;=1500,"High",TRUE,"no")</f>
        <v>Low</v>
      </c>
      <c r="N220" s="6">
        <f t="shared" si="6"/>
        <v>1</v>
      </c>
      <c r="O220" s="6" t="str">
        <f t="shared" si="7"/>
        <v>Charlie</v>
      </c>
    </row>
    <row r="221" spans="1:15" x14ac:dyDescent="0.3">
      <c r="A221" s="10">
        <v>220</v>
      </c>
      <c r="B221" s="18">
        <v>45146</v>
      </c>
      <c r="C221" s="6" t="s">
        <v>239</v>
      </c>
      <c r="D221" s="6" t="s">
        <v>3</v>
      </c>
      <c r="E221" s="6" t="s">
        <v>19</v>
      </c>
      <c r="F221" s="6">
        <v>44</v>
      </c>
      <c r="G221" s="6" t="s">
        <v>23</v>
      </c>
      <c r="H221" s="6">
        <v>3</v>
      </c>
      <c r="I221" s="6">
        <v>349</v>
      </c>
      <c r="J221" s="11">
        <v>1047</v>
      </c>
      <c r="M221" s="6" t="str" cm="1">
        <f t="array" ref="M221">_xlfn.IFS(J221&lt;=500,"Low",J221&gt;=1500,"Mid",J221&lt;=1500,"High",TRUE,"no")</f>
        <v>High</v>
      </c>
      <c r="N221" s="6">
        <f t="shared" si="6"/>
        <v>7</v>
      </c>
      <c r="O221" s="6" t="str">
        <f t="shared" si="7"/>
        <v>Bob</v>
      </c>
    </row>
    <row r="222" spans="1:15" x14ac:dyDescent="0.3">
      <c r="A222" s="10">
        <v>221</v>
      </c>
      <c r="B222" s="18">
        <v>45147</v>
      </c>
      <c r="C222" s="6" t="s">
        <v>240</v>
      </c>
      <c r="D222" s="6" t="s">
        <v>3</v>
      </c>
      <c r="E222" s="6" t="s">
        <v>14</v>
      </c>
      <c r="F222" s="6">
        <v>34</v>
      </c>
      <c r="G222" s="6" t="s">
        <v>17</v>
      </c>
      <c r="H222" s="6">
        <v>3</v>
      </c>
      <c r="I222" s="6">
        <v>387</v>
      </c>
      <c r="J222" s="11">
        <v>1161</v>
      </c>
      <c r="M222" s="6" t="str" cm="1">
        <f t="array" ref="M222">_xlfn.IFS(J222&lt;=500,"Low",J222&gt;=1500,"Mid",J222&lt;=1500,"High",TRUE,"no")</f>
        <v>High</v>
      </c>
      <c r="N222" s="6">
        <f t="shared" si="6"/>
        <v>7</v>
      </c>
      <c r="O222" s="6" t="str">
        <f t="shared" si="7"/>
        <v>Bob</v>
      </c>
    </row>
    <row r="223" spans="1:15" x14ac:dyDescent="0.3">
      <c r="A223" s="10">
        <v>222</v>
      </c>
      <c r="B223" s="18">
        <v>45148</v>
      </c>
      <c r="C223" s="6" t="s">
        <v>241</v>
      </c>
      <c r="D223" s="6" t="s">
        <v>3</v>
      </c>
      <c r="E223" s="6" t="s">
        <v>19</v>
      </c>
      <c r="F223" s="6">
        <v>55</v>
      </c>
      <c r="G223" s="6" t="s">
        <v>27</v>
      </c>
      <c r="H223" s="6">
        <v>5</v>
      </c>
      <c r="I223" s="6">
        <v>188</v>
      </c>
      <c r="J223" s="11">
        <v>940</v>
      </c>
      <c r="M223" s="6" t="str" cm="1">
        <f t="array" ref="M223">_xlfn.IFS(J223&lt;=500,"Low",J223&gt;=1500,"Mid",J223&lt;=1500,"High",TRUE,"no")</f>
        <v>High</v>
      </c>
      <c r="N223" s="6">
        <f t="shared" si="6"/>
        <v>7</v>
      </c>
      <c r="O223" s="6" t="str">
        <f t="shared" si="7"/>
        <v>Bob</v>
      </c>
    </row>
    <row r="224" spans="1:15" x14ac:dyDescent="0.3">
      <c r="A224" s="10">
        <v>223</v>
      </c>
      <c r="B224" s="18">
        <v>45149</v>
      </c>
      <c r="C224" s="6" t="s">
        <v>242</v>
      </c>
      <c r="D224" s="6" t="s">
        <v>2</v>
      </c>
      <c r="E224" s="6" t="s">
        <v>19</v>
      </c>
      <c r="F224" s="6">
        <v>40</v>
      </c>
      <c r="G224" s="6" t="s">
        <v>23</v>
      </c>
      <c r="H224" s="6">
        <v>1</v>
      </c>
      <c r="I224" s="6">
        <v>439</v>
      </c>
      <c r="J224" s="11">
        <v>439</v>
      </c>
      <c r="M224" s="6" t="str" cm="1">
        <f t="array" ref="M224">_xlfn.IFS(J224&lt;=500,"Low",J224&gt;=1500,"Mid",J224&lt;=1500,"High",TRUE,"no")</f>
        <v>Low</v>
      </c>
      <c r="N224" s="6">
        <f t="shared" si="6"/>
        <v>2</v>
      </c>
      <c r="O224" s="6" t="str">
        <f t="shared" si="7"/>
        <v>Diana</v>
      </c>
    </row>
    <row r="225" spans="1:15" x14ac:dyDescent="0.3">
      <c r="A225" s="10">
        <v>224</v>
      </c>
      <c r="B225" s="18">
        <v>45150</v>
      </c>
      <c r="C225" s="6" t="s">
        <v>243</v>
      </c>
      <c r="D225" s="6" t="s">
        <v>4</v>
      </c>
      <c r="E225" s="6" t="s">
        <v>14</v>
      </c>
      <c r="F225" s="6">
        <v>52</v>
      </c>
      <c r="G225" s="6" t="s">
        <v>15</v>
      </c>
      <c r="H225" s="6">
        <v>3</v>
      </c>
      <c r="I225" s="6">
        <v>461</v>
      </c>
      <c r="J225" s="11">
        <v>1383</v>
      </c>
      <c r="M225" s="6" t="str" cm="1">
        <f t="array" ref="M225">_xlfn.IFS(J225&lt;=500,"Low",J225&gt;=1500,"Mid",J225&lt;=1500,"High",TRUE,"no")</f>
        <v>High</v>
      </c>
      <c r="N225" s="6">
        <f t="shared" si="6"/>
        <v>10</v>
      </c>
      <c r="O225" s="6" t="str">
        <f t="shared" si="7"/>
        <v>Alice</v>
      </c>
    </row>
    <row r="226" spans="1:15" x14ac:dyDescent="0.3">
      <c r="A226" s="10">
        <v>225</v>
      </c>
      <c r="B226" s="18">
        <v>45151</v>
      </c>
      <c r="C226" s="6" t="s">
        <v>244</v>
      </c>
      <c r="D226" s="6" t="s">
        <v>1</v>
      </c>
      <c r="E226" s="6" t="s">
        <v>19</v>
      </c>
      <c r="F226" s="6">
        <v>47</v>
      </c>
      <c r="G226" s="6" t="s">
        <v>17</v>
      </c>
      <c r="H226" s="6">
        <v>4</v>
      </c>
      <c r="I226" s="6">
        <v>242</v>
      </c>
      <c r="J226" s="11">
        <v>968</v>
      </c>
      <c r="M226" s="6" t="str" cm="1">
        <f t="array" ref="M226">_xlfn.IFS(J226&lt;=500,"Low",J226&gt;=1500,"Mid",J226&lt;=1500,"High",TRUE,"no")</f>
        <v>High</v>
      </c>
      <c r="N226" s="6">
        <f t="shared" si="6"/>
        <v>1</v>
      </c>
      <c r="O226" s="6" t="str">
        <f t="shared" si="7"/>
        <v>Charlie</v>
      </c>
    </row>
    <row r="227" spans="1:15" x14ac:dyDescent="0.3">
      <c r="A227" s="10">
        <v>226</v>
      </c>
      <c r="B227" s="18">
        <v>45152</v>
      </c>
      <c r="C227" s="6" t="s">
        <v>245</v>
      </c>
      <c r="D227" s="6" t="s">
        <v>4</v>
      </c>
      <c r="E227" s="6" t="s">
        <v>19</v>
      </c>
      <c r="F227" s="6">
        <v>42</v>
      </c>
      <c r="G227" s="6" t="s">
        <v>23</v>
      </c>
      <c r="H227" s="6">
        <v>1</v>
      </c>
      <c r="I227" s="6">
        <v>461</v>
      </c>
      <c r="J227" s="11">
        <v>461</v>
      </c>
      <c r="M227" s="6" t="str" cm="1">
        <f t="array" ref="M227">_xlfn.IFS(J227&lt;=500,"Low",J227&gt;=1500,"Mid",J227&lt;=1500,"High",TRUE,"no")</f>
        <v>Low</v>
      </c>
      <c r="N227" s="6">
        <f t="shared" si="6"/>
        <v>10</v>
      </c>
      <c r="O227" s="6" t="str">
        <f t="shared" si="7"/>
        <v>Alice</v>
      </c>
    </row>
    <row r="228" spans="1:15" x14ac:dyDescent="0.3">
      <c r="A228" s="10">
        <v>227</v>
      </c>
      <c r="B228" s="18">
        <v>45153</v>
      </c>
      <c r="C228" s="6" t="s">
        <v>246</v>
      </c>
      <c r="D228" s="6" t="s">
        <v>2</v>
      </c>
      <c r="E228" s="6" t="s">
        <v>19</v>
      </c>
      <c r="F228" s="6">
        <v>30</v>
      </c>
      <c r="G228" s="6" t="s">
        <v>27</v>
      </c>
      <c r="H228" s="6">
        <v>2</v>
      </c>
      <c r="I228" s="6">
        <v>341</v>
      </c>
      <c r="J228" s="11">
        <v>682</v>
      </c>
      <c r="M228" s="6" t="str" cm="1">
        <f t="array" ref="M228">_xlfn.IFS(J228&lt;=500,"Low",J228&gt;=1500,"Mid",J228&lt;=1500,"High",TRUE,"no")</f>
        <v>High</v>
      </c>
      <c r="N228" s="6">
        <f t="shared" si="6"/>
        <v>2</v>
      </c>
      <c r="O228" s="6" t="str">
        <f t="shared" si="7"/>
        <v>Diana</v>
      </c>
    </row>
    <row r="229" spans="1:15" x14ac:dyDescent="0.3">
      <c r="A229" s="10">
        <v>228</v>
      </c>
      <c r="B229" s="18">
        <v>45154</v>
      </c>
      <c r="C229" s="6" t="s">
        <v>247</v>
      </c>
      <c r="D229" s="6" t="s">
        <v>4</v>
      </c>
      <c r="E229" s="6" t="s">
        <v>14</v>
      </c>
      <c r="F229" s="6">
        <v>33</v>
      </c>
      <c r="G229" s="6" t="s">
        <v>20</v>
      </c>
      <c r="H229" s="6">
        <v>4</v>
      </c>
      <c r="I229" s="6">
        <v>29</v>
      </c>
      <c r="J229" s="11">
        <v>116</v>
      </c>
      <c r="M229" s="6" t="str" cm="1">
        <f t="array" ref="M229">_xlfn.IFS(J229&lt;=500,"Low",J229&gt;=1500,"Mid",J229&lt;=1500,"High",TRUE,"no")</f>
        <v>Low</v>
      </c>
      <c r="N229" s="6">
        <f t="shared" si="6"/>
        <v>10</v>
      </c>
      <c r="O229" s="6" t="str">
        <f t="shared" si="7"/>
        <v>Alice</v>
      </c>
    </row>
    <row r="230" spans="1:15" x14ac:dyDescent="0.3">
      <c r="A230" s="10">
        <v>229</v>
      </c>
      <c r="B230" s="18">
        <v>45155</v>
      </c>
      <c r="C230" s="6" t="s">
        <v>248</v>
      </c>
      <c r="D230" s="6" t="s">
        <v>2</v>
      </c>
      <c r="E230" s="6" t="s">
        <v>14</v>
      </c>
      <c r="F230" s="6">
        <v>35</v>
      </c>
      <c r="G230" s="6" t="s">
        <v>15</v>
      </c>
      <c r="H230" s="6">
        <v>3</v>
      </c>
      <c r="I230" s="6">
        <v>168</v>
      </c>
      <c r="J230" s="11">
        <v>504</v>
      </c>
      <c r="M230" s="6" t="str" cm="1">
        <f t="array" ref="M230">_xlfn.IFS(J230&lt;=500,"Low",J230&gt;=1500,"Mid",J230&lt;=1500,"High",TRUE,"no")</f>
        <v>High</v>
      </c>
      <c r="N230" s="6">
        <f t="shared" si="6"/>
        <v>2</v>
      </c>
      <c r="O230" s="6" t="str">
        <f t="shared" si="7"/>
        <v>Diana</v>
      </c>
    </row>
    <row r="231" spans="1:15" x14ac:dyDescent="0.3">
      <c r="A231" s="10">
        <v>230</v>
      </c>
      <c r="B231" s="18">
        <v>45156</v>
      </c>
      <c r="C231" s="6" t="s">
        <v>249</v>
      </c>
      <c r="D231" s="6" t="s">
        <v>3</v>
      </c>
      <c r="E231" s="6" t="s">
        <v>14</v>
      </c>
      <c r="F231" s="6">
        <v>31</v>
      </c>
      <c r="G231" s="6" t="s">
        <v>23</v>
      </c>
      <c r="H231" s="6">
        <v>1</v>
      </c>
      <c r="I231" s="6">
        <v>130</v>
      </c>
      <c r="J231" s="11">
        <v>130</v>
      </c>
      <c r="M231" s="6" t="str" cm="1">
        <f t="array" ref="M231">_xlfn.IFS(J231&lt;=500,"Low",J231&gt;=1500,"Mid",J231&lt;=1500,"High",TRUE,"no")</f>
        <v>Low</v>
      </c>
      <c r="N231" s="6">
        <f t="shared" si="6"/>
        <v>7</v>
      </c>
      <c r="O231" s="6" t="str">
        <f t="shared" si="7"/>
        <v>Bob</v>
      </c>
    </row>
    <row r="232" spans="1:15" x14ac:dyDescent="0.3">
      <c r="A232" s="10">
        <v>231</v>
      </c>
      <c r="B232" s="18">
        <v>45157</v>
      </c>
      <c r="C232" s="6" t="s">
        <v>250</v>
      </c>
      <c r="D232" s="6" t="s">
        <v>1</v>
      </c>
      <c r="E232" s="6" t="s">
        <v>19</v>
      </c>
      <c r="F232" s="6">
        <v>55</v>
      </c>
      <c r="G232" s="6" t="s">
        <v>23</v>
      </c>
      <c r="H232" s="6">
        <v>5</v>
      </c>
      <c r="I232" s="6">
        <v>241</v>
      </c>
      <c r="J232" s="11">
        <v>1205</v>
      </c>
      <c r="M232" s="6" t="str" cm="1">
        <f t="array" ref="M232">_xlfn.IFS(J232&lt;=500,"Low",J232&gt;=1500,"Mid",J232&lt;=1500,"High",TRUE,"no")</f>
        <v>High</v>
      </c>
      <c r="N232" s="6">
        <f t="shared" si="6"/>
        <v>1</v>
      </c>
      <c r="O232" s="6" t="str">
        <f t="shared" si="7"/>
        <v>Charlie</v>
      </c>
    </row>
    <row r="233" spans="1:15" x14ac:dyDescent="0.3">
      <c r="A233" s="10">
        <v>232</v>
      </c>
      <c r="B233" s="18">
        <v>45158</v>
      </c>
      <c r="C233" s="6" t="s">
        <v>251</v>
      </c>
      <c r="D233" s="6" t="s">
        <v>3</v>
      </c>
      <c r="E233" s="6" t="s">
        <v>14</v>
      </c>
      <c r="F233" s="6">
        <v>39</v>
      </c>
      <c r="G233" s="6" t="s">
        <v>15</v>
      </c>
      <c r="H233" s="6">
        <v>4</v>
      </c>
      <c r="I233" s="6">
        <v>262</v>
      </c>
      <c r="J233" s="11">
        <v>1048</v>
      </c>
      <c r="M233" s="6" t="str" cm="1">
        <f t="array" ref="M233">_xlfn.IFS(J233&lt;=500,"Low",J233&gt;=1500,"Mid",J233&lt;=1500,"High",TRUE,"no")</f>
        <v>High</v>
      </c>
      <c r="N233" s="6">
        <f t="shared" si="6"/>
        <v>7</v>
      </c>
      <c r="O233" s="6" t="str">
        <f t="shared" si="7"/>
        <v>Bob</v>
      </c>
    </row>
    <row r="234" spans="1:15" x14ac:dyDescent="0.3">
      <c r="A234" s="10">
        <v>233</v>
      </c>
      <c r="B234" s="18">
        <v>45159</v>
      </c>
      <c r="C234" s="6" t="s">
        <v>252</v>
      </c>
      <c r="D234" s="6" t="s">
        <v>4</v>
      </c>
      <c r="E234" s="6" t="s">
        <v>19</v>
      </c>
      <c r="F234" s="6">
        <v>54</v>
      </c>
      <c r="G234" s="6" t="s">
        <v>27</v>
      </c>
      <c r="H234" s="6">
        <v>1</v>
      </c>
      <c r="I234" s="6">
        <v>66</v>
      </c>
      <c r="J234" s="11">
        <v>66</v>
      </c>
      <c r="M234" s="6" t="str" cm="1">
        <f t="array" ref="M234">_xlfn.IFS(J234&lt;=500,"Low",J234&gt;=1500,"Mid",J234&lt;=1500,"High",TRUE,"no")</f>
        <v>Low</v>
      </c>
      <c r="N234" s="6">
        <f t="shared" si="6"/>
        <v>10</v>
      </c>
      <c r="O234" s="6" t="str">
        <f t="shared" si="7"/>
        <v>Alice</v>
      </c>
    </row>
    <row r="235" spans="1:15" x14ac:dyDescent="0.3">
      <c r="A235" s="10">
        <v>234</v>
      </c>
      <c r="B235" s="18">
        <v>45160</v>
      </c>
      <c r="C235" s="6" t="s">
        <v>253</v>
      </c>
      <c r="D235" s="6" t="s">
        <v>3</v>
      </c>
      <c r="E235" s="6" t="s">
        <v>14</v>
      </c>
      <c r="F235" s="6">
        <v>21</v>
      </c>
      <c r="G235" s="6" t="s">
        <v>23</v>
      </c>
      <c r="H235" s="6">
        <v>3</v>
      </c>
      <c r="I235" s="6">
        <v>52</v>
      </c>
      <c r="J235" s="11">
        <v>156</v>
      </c>
      <c r="M235" s="6" t="str" cm="1">
        <f t="array" ref="M235">_xlfn.IFS(J235&lt;=500,"Low",J235&gt;=1500,"Mid",J235&lt;=1500,"High",TRUE,"no")</f>
        <v>Low</v>
      </c>
      <c r="N235" s="6">
        <f t="shared" si="6"/>
        <v>7</v>
      </c>
      <c r="O235" s="6" t="str">
        <f t="shared" si="7"/>
        <v>Bob</v>
      </c>
    </row>
    <row r="236" spans="1:15" x14ac:dyDescent="0.3">
      <c r="A236" s="10">
        <v>235</v>
      </c>
      <c r="B236" s="18">
        <v>45161</v>
      </c>
      <c r="C236" s="6" t="s">
        <v>254</v>
      </c>
      <c r="D236" s="6" t="s">
        <v>1</v>
      </c>
      <c r="E236" s="6" t="s">
        <v>14</v>
      </c>
      <c r="F236" s="6">
        <v>23</v>
      </c>
      <c r="G236" s="6" t="s">
        <v>27</v>
      </c>
      <c r="H236" s="6">
        <v>4</v>
      </c>
      <c r="I236" s="6">
        <v>415</v>
      </c>
      <c r="J236" s="11">
        <v>1660</v>
      </c>
      <c r="M236" s="6" t="str" cm="1">
        <f t="array" ref="M236">_xlfn.IFS(J236&lt;=500,"Low",J236&gt;=1500,"Mid",J236&lt;=1500,"High",TRUE,"no")</f>
        <v>Mid</v>
      </c>
      <c r="N236" s="6">
        <f t="shared" si="6"/>
        <v>1</v>
      </c>
      <c r="O236" s="6" t="str">
        <f t="shared" si="7"/>
        <v>Charlie</v>
      </c>
    </row>
    <row r="237" spans="1:15" x14ac:dyDescent="0.3">
      <c r="A237" s="10">
        <v>236</v>
      </c>
      <c r="B237" s="18">
        <v>45162</v>
      </c>
      <c r="C237" s="6" t="s">
        <v>255</v>
      </c>
      <c r="D237" s="6" t="s">
        <v>3</v>
      </c>
      <c r="E237" s="6" t="s">
        <v>19</v>
      </c>
      <c r="F237" s="6">
        <v>47</v>
      </c>
      <c r="G237" s="6" t="s">
        <v>20</v>
      </c>
      <c r="H237" s="6">
        <v>5</v>
      </c>
      <c r="I237" s="6">
        <v>385</v>
      </c>
      <c r="J237" s="11">
        <v>1925</v>
      </c>
      <c r="M237" s="6" t="str" cm="1">
        <f t="array" ref="M237">_xlfn.IFS(J237&lt;=500,"Low",J237&gt;=1500,"Mid",J237&lt;=1500,"High",TRUE,"no")</f>
        <v>Mid</v>
      </c>
      <c r="N237" s="6">
        <f t="shared" si="6"/>
        <v>7</v>
      </c>
      <c r="O237" s="6" t="str">
        <f t="shared" si="7"/>
        <v>Bob</v>
      </c>
    </row>
    <row r="238" spans="1:15" x14ac:dyDescent="0.3">
      <c r="A238" s="10">
        <v>237</v>
      </c>
      <c r="B238" s="18">
        <v>45163</v>
      </c>
      <c r="C238" s="6" t="s">
        <v>256</v>
      </c>
      <c r="D238" s="6" t="s">
        <v>1</v>
      </c>
      <c r="E238" s="6" t="s">
        <v>14</v>
      </c>
      <c r="F238" s="6">
        <v>56</v>
      </c>
      <c r="G238" s="6" t="s">
        <v>23</v>
      </c>
      <c r="H238" s="6">
        <v>2</v>
      </c>
      <c r="I238" s="6">
        <v>195</v>
      </c>
      <c r="J238" s="11">
        <v>390</v>
      </c>
      <c r="M238" s="6" t="str" cm="1">
        <f t="array" ref="M238">_xlfn.IFS(J238&lt;=500,"Low",J238&gt;=1500,"Mid",J238&lt;=1500,"High",TRUE,"no")</f>
        <v>Low</v>
      </c>
      <c r="N238" s="6">
        <f t="shared" si="6"/>
        <v>1</v>
      </c>
      <c r="O238" s="6" t="str">
        <f t="shared" si="7"/>
        <v>Charlie</v>
      </c>
    </row>
    <row r="239" spans="1:15" x14ac:dyDescent="0.3">
      <c r="A239" s="10">
        <v>238</v>
      </c>
      <c r="B239" s="18">
        <v>45164</v>
      </c>
      <c r="C239" s="6" t="s">
        <v>257</v>
      </c>
      <c r="D239" s="6" t="s">
        <v>1</v>
      </c>
      <c r="E239" s="6" t="s">
        <v>19</v>
      </c>
      <c r="F239" s="6">
        <v>56</v>
      </c>
      <c r="G239" s="6" t="s">
        <v>23</v>
      </c>
      <c r="H239" s="6">
        <v>2</v>
      </c>
      <c r="I239" s="6">
        <v>262</v>
      </c>
      <c r="J239" s="11">
        <v>524</v>
      </c>
      <c r="M239" s="6" t="str" cm="1">
        <f t="array" ref="M239">_xlfn.IFS(J239&lt;=500,"Low",J239&gt;=1500,"Mid",J239&lt;=1500,"High",TRUE,"no")</f>
        <v>High</v>
      </c>
      <c r="N239" s="6">
        <f t="shared" si="6"/>
        <v>1</v>
      </c>
      <c r="O239" s="6" t="str">
        <f t="shared" si="7"/>
        <v>Charlie</v>
      </c>
    </row>
    <row r="240" spans="1:15" x14ac:dyDescent="0.3">
      <c r="A240" s="10">
        <v>239</v>
      </c>
      <c r="B240" s="18">
        <v>45165</v>
      </c>
      <c r="C240" s="6" t="s">
        <v>258</v>
      </c>
      <c r="D240" s="6" t="s">
        <v>3</v>
      </c>
      <c r="E240" s="6" t="s">
        <v>19</v>
      </c>
      <c r="F240" s="6">
        <v>57</v>
      </c>
      <c r="G240" s="6" t="s">
        <v>27</v>
      </c>
      <c r="H240" s="6">
        <v>2</v>
      </c>
      <c r="I240" s="6">
        <v>181</v>
      </c>
      <c r="J240" s="11">
        <v>362</v>
      </c>
      <c r="M240" s="6" t="str" cm="1">
        <f t="array" ref="M240">_xlfn.IFS(J240&lt;=500,"Low",J240&gt;=1500,"Mid",J240&lt;=1500,"High",TRUE,"no")</f>
        <v>Low</v>
      </c>
      <c r="N240" s="6">
        <f t="shared" si="6"/>
        <v>7</v>
      </c>
      <c r="O240" s="6" t="str">
        <f t="shared" si="7"/>
        <v>Bob</v>
      </c>
    </row>
    <row r="241" spans="1:15" x14ac:dyDescent="0.3">
      <c r="A241" s="10">
        <v>240</v>
      </c>
      <c r="B241" s="18">
        <v>45166</v>
      </c>
      <c r="C241" s="6" t="s">
        <v>259</v>
      </c>
      <c r="D241" s="6" t="s">
        <v>2</v>
      </c>
      <c r="E241" s="6" t="s">
        <v>14</v>
      </c>
      <c r="F241" s="6">
        <v>32</v>
      </c>
      <c r="G241" s="6" t="s">
        <v>17</v>
      </c>
      <c r="H241" s="6">
        <v>5</v>
      </c>
      <c r="I241" s="6">
        <v>295</v>
      </c>
      <c r="J241" s="11">
        <v>1475</v>
      </c>
      <c r="M241" s="6" t="str" cm="1">
        <f t="array" ref="M241">_xlfn.IFS(J241&lt;=500,"Low",J241&gt;=1500,"Mid",J241&lt;=1500,"High",TRUE,"no")</f>
        <v>High</v>
      </c>
      <c r="N241" s="6">
        <f t="shared" si="6"/>
        <v>2</v>
      </c>
      <c r="O241" s="6" t="str">
        <f t="shared" si="7"/>
        <v>Diana</v>
      </c>
    </row>
    <row r="242" spans="1:15" x14ac:dyDescent="0.3">
      <c r="A242" s="10">
        <v>241</v>
      </c>
      <c r="B242" s="18">
        <v>45167</v>
      </c>
      <c r="C242" s="6" t="s">
        <v>260</v>
      </c>
      <c r="D242" s="6" t="s">
        <v>4</v>
      </c>
      <c r="E242" s="6" t="s">
        <v>14</v>
      </c>
      <c r="F242" s="6">
        <v>46</v>
      </c>
      <c r="G242" s="6" t="s">
        <v>17</v>
      </c>
      <c r="H242" s="6">
        <v>2</v>
      </c>
      <c r="I242" s="6">
        <v>159</v>
      </c>
      <c r="J242" s="11">
        <v>318</v>
      </c>
      <c r="M242" s="6" t="str" cm="1">
        <f t="array" ref="M242">_xlfn.IFS(J242&lt;=500,"Low",J242&gt;=1500,"Mid",J242&lt;=1500,"High",TRUE,"no")</f>
        <v>Low</v>
      </c>
      <c r="N242" s="6">
        <f t="shared" si="6"/>
        <v>10</v>
      </c>
      <c r="O242" s="6" t="str">
        <f t="shared" si="7"/>
        <v>Alice</v>
      </c>
    </row>
    <row r="243" spans="1:15" x14ac:dyDescent="0.3">
      <c r="A243" s="10">
        <v>242</v>
      </c>
      <c r="B243" s="18">
        <v>45168</v>
      </c>
      <c r="C243" s="6" t="s">
        <v>261</v>
      </c>
      <c r="D243" s="6" t="s">
        <v>2</v>
      </c>
      <c r="E243" s="6" t="s">
        <v>19</v>
      </c>
      <c r="F243" s="6">
        <v>34</v>
      </c>
      <c r="G243" s="6" t="s">
        <v>17</v>
      </c>
      <c r="H243" s="6">
        <v>5</v>
      </c>
      <c r="I243" s="6">
        <v>211</v>
      </c>
      <c r="J243" s="11">
        <v>1055</v>
      </c>
      <c r="M243" s="6" t="str" cm="1">
        <f t="array" ref="M243">_xlfn.IFS(J243&lt;=500,"Low",J243&gt;=1500,"Mid",J243&lt;=1500,"High",TRUE,"no")</f>
        <v>High</v>
      </c>
      <c r="N243" s="6">
        <f t="shared" si="6"/>
        <v>2</v>
      </c>
      <c r="O243" s="6" t="str">
        <f t="shared" si="7"/>
        <v>Diana</v>
      </c>
    </row>
    <row r="244" spans="1:15" x14ac:dyDescent="0.3">
      <c r="A244" s="10">
        <v>243</v>
      </c>
      <c r="B244" s="18">
        <v>45169</v>
      </c>
      <c r="C244" s="6" t="s">
        <v>262</v>
      </c>
      <c r="D244" s="6" t="s">
        <v>2</v>
      </c>
      <c r="E244" s="6" t="s">
        <v>19</v>
      </c>
      <c r="F244" s="6">
        <v>19</v>
      </c>
      <c r="G244" s="6" t="s">
        <v>23</v>
      </c>
      <c r="H244" s="6">
        <v>3</v>
      </c>
      <c r="I244" s="6">
        <v>414</v>
      </c>
      <c r="J244" s="11">
        <v>1242</v>
      </c>
      <c r="M244" s="6" t="str" cm="1">
        <f t="array" ref="M244">_xlfn.IFS(J244&lt;=500,"Low",J244&gt;=1500,"Mid",J244&lt;=1500,"High",TRUE,"no")</f>
        <v>High</v>
      </c>
      <c r="N244" s="6">
        <f t="shared" si="6"/>
        <v>2</v>
      </c>
      <c r="O244" s="6" t="str">
        <f t="shared" si="7"/>
        <v>Diana</v>
      </c>
    </row>
    <row r="245" spans="1:15" x14ac:dyDescent="0.3">
      <c r="A245" s="10">
        <v>244</v>
      </c>
      <c r="B245" s="18">
        <v>45170</v>
      </c>
      <c r="C245" s="6" t="s">
        <v>263</v>
      </c>
      <c r="D245" s="6" t="s">
        <v>3</v>
      </c>
      <c r="E245" s="6" t="s">
        <v>19</v>
      </c>
      <c r="F245" s="6">
        <v>48</v>
      </c>
      <c r="G245" s="6" t="s">
        <v>27</v>
      </c>
      <c r="H245" s="6">
        <v>3</v>
      </c>
      <c r="I245" s="6">
        <v>21</v>
      </c>
      <c r="J245" s="11">
        <v>63</v>
      </c>
      <c r="M245" s="6" t="str" cm="1">
        <f t="array" ref="M245">_xlfn.IFS(J245&lt;=500,"Low",J245&gt;=1500,"Mid",J245&lt;=1500,"High",TRUE,"no")</f>
        <v>Low</v>
      </c>
      <c r="N245" s="6">
        <f t="shared" si="6"/>
        <v>7</v>
      </c>
      <c r="O245" s="6" t="str">
        <f t="shared" si="7"/>
        <v>Bob</v>
      </c>
    </row>
    <row r="246" spans="1:15" x14ac:dyDescent="0.3">
      <c r="A246" s="10">
        <v>245</v>
      </c>
      <c r="B246" s="18">
        <v>45171</v>
      </c>
      <c r="C246" s="6" t="s">
        <v>264</v>
      </c>
      <c r="D246" s="6" t="s">
        <v>4</v>
      </c>
      <c r="E246" s="6" t="s">
        <v>14</v>
      </c>
      <c r="F246" s="6">
        <v>51</v>
      </c>
      <c r="G246" s="6" t="s">
        <v>23</v>
      </c>
      <c r="H246" s="6">
        <v>4</v>
      </c>
      <c r="I246" s="6">
        <v>351</v>
      </c>
      <c r="J246" s="11">
        <v>1404</v>
      </c>
      <c r="M246" s="6" t="str" cm="1">
        <f t="array" ref="M246">_xlfn.IFS(J246&lt;=500,"Low",J246&gt;=1500,"Mid",J246&lt;=1500,"High",TRUE,"no")</f>
        <v>High</v>
      </c>
      <c r="N246" s="6">
        <f t="shared" si="6"/>
        <v>10</v>
      </c>
      <c r="O246" s="6" t="str">
        <f t="shared" si="7"/>
        <v>Alice</v>
      </c>
    </row>
    <row r="247" spans="1:15" x14ac:dyDescent="0.3">
      <c r="A247" s="10">
        <v>246</v>
      </c>
      <c r="B247" s="18">
        <v>45172</v>
      </c>
      <c r="C247" s="6" t="s">
        <v>265</v>
      </c>
      <c r="D247" s="6" t="s">
        <v>4</v>
      </c>
      <c r="E247" s="6" t="s">
        <v>19</v>
      </c>
      <c r="F247" s="6">
        <v>44</v>
      </c>
      <c r="G247" s="6" t="s">
        <v>23</v>
      </c>
      <c r="H247" s="6">
        <v>2</v>
      </c>
      <c r="I247" s="6">
        <v>92</v>
      </c>
      <c r="J247" s="11">
        <v>184</v>
      </c>
      <c r="M247" s="6" t="str" cm="1">
        <f t="array" ref="M247">_xlfn.IFS(J247&lt;=500,"Low",J247&gt;=1500,"Mid",J247&lt;=1500,"High",TRUE,"no")</f>
        <v>Low</v>
      </c>
      <c r="N247" s="6">
        <f t="shared" si="6"/>
        <v>10</v>
      </c>
      <c r="O247" s="6" t="str">
        <f t="shared" si="7"/>
        <v>Alice</v>
      </c>
    </row>
    <row r="248" spans="1:15" x14ac:dyDescent="0.3">
      <c r="A248" s="10">
        <v>247</v>
      </c>
      <c r="B248" s="18">
        <v>45173</v>
      </c>
      <c r="C248" s="6" t="s">
        <v>266</v>
      </c>
      <c r="D248" s="6" t="s">
        <v>2</v>
      </c>
      <c r="E248" s="6" t="s">
        <v>14</v>
      </c>
      <c r="F248" s="6">
        <v>27</v>
      </c>
      <c r="G248" s="6" t="s">
        <v>15</v>
      </c>
      <c r="H248" s="6">
        <v>3</v>
      </c>
      <c r="I248" s="6">
        <v>307</v>
      </c>
      <c r="J248" s="11">
        <v>921</v>
      </c>
      <c r="M248" s="6" t="str" cm="1">
        <f t="array" ref="M248">_xlfn.IFS(J248&lt;=500,"Low",J248&gt;=1500,"Mid",J248&lt;=1500,"High",TRUE,"no")</f>
        <v>High</v>
      </c>
      <c r="N248" s="6">
        <f t="shared" si="6"/>
        <v>2</v>
      </c>
      <c r="O248" s="6" t="str">
        <f t="shared" si="7"/>
        <v>Diana</v>
      </c>
    </row>
    <row r="249" spans="1:15" x14ac:dyDescent="0.3">
      <c r="A249" s="10">
        <v>248</v>
      </c>
      <c r="B249" s="18">
        <v>45174</v>
      </c>
      <c r="C249" s="6" t="s">
        <v>267</v>
      </c>
      <c r="D249" s="6" t="s">
        <v>3</v>
      </c>
      <c r="E249" s="6" t="s">
        <v>14</v>
      </c>
      <c r="F249" s="6">
        <v>48</v>
      </c>
      <c r="G249" s="6" t="s">
        <v>23</v>
      </c>
      <c r="H249" s="6">
        <v>2</v>
      </c>
      <c r="I249" s="6">
        <v>323</v>
      </c>
      <c r="J249" s="11">
        <v>646</v>
      </c>
      <c r="M249" s="6" t="str" cm="1">
        <f t="array" ref="M249">_xlfn.IFS(J249&lt;=500,"Low",J249&gt;=1500,"Mid",J249&lt;=1500,"High",TRUE,"no")</f>
        <v>High</v>
      </c>
      <c r="N249" s="6">
        <f t="shared" si="6"/>
        <v>7</v>
      </c>
      <c r="O249" s="6" t="str">
        <f t="shared" si="7"/>
        <v>Bob</v>
      </c>
    </row>
    <row r="250" spans="1:15" x14ac:dyDescent="0.3">
      <c r="A250" s="10">
        <v>249</v>
      </c>
      <c r="B250" s="18">
        <v>45175</v>
      </c>
      <c r="C250" s="6" t="s">
        <v>268</v>
      </c>
      <c r="D250" s="6" t="s">
        <v>4</v>
      </c>
      <c r="E250" s="6" t="s">
        <v>14</v>
      </c>
      <c r="F250" s="6">
        <v>39</v>
      </c>
      <c r="G250" s="6" t="s">
        <v>23</v>
      </c>
      <c r="H250" s="6">
        <v>2</v>
      </c>
      <c r="I250" s="6">
        <v>87</v>
      </c>
      <c r="J250" s="11">
        <v>174</v>
      </c>
      <c r="M250" s="6" t="str" cm="1">
        <f t="array" ref="M250">_xlfn.IFS(J250&lt;=500,"Low",J250&gt;=1500,"Mid",J250&lt;=1500,"High",TRUE,"no")</f>
        <v>Low</v>
      </c>
      <c r="N250" s="6">
        <f t="shared" si="6"/>
        <v>10</v>
      </c>
      <c r="O250" s="6" t="str">
        <f t="shared" si="7"/>
        <v>Alice</v>
      </c>
    </row>
    <row r="251" spans="1:15" x14ac:dyDescent="0.3">
      <c r="A251" s="10">
        <v>250</v>
      </c>
      <c r="B251" s="18">
        <v>45176</v>
      </c>
      <c r="C251" s="6" t="s">
        <v>269</v>
      </c>
      <c r="D251" s="6" t="s">
        <v>2</v>
      </c>
      <c r="E251" s="6" t="s">
        <v>14</v>
      </c>
      <c r="F251" s="6">
        <v>43</v>
      </c>
      <c r="G251" s="6" t="s">
        <v>23</v>
      </c>
      <c r="H251" s="6">
        <v>5</v>
      </c>
      <c r="I251" s="6">
        <v>192</v>
      </c>
      <c r="J251" s="11">
        <v>960</v>
      </c>
      <c r="M251" s="6" t="str" cm="1">
        <f t="array" ref="M251">_xlfn.IFS(J251&lt;=500,"Low",J251&gt;=1500,"Mid",J251&lt;=1500,"High",TRUE,"no")</f>
        <v>High</v>
      </c>
      <c r="N251" s="6">
        <f t="shared" si="6"/>
        <v>2</v>
      </c>
      <c r="O251" s="6" t="str">
        <f t="shared" si="7"/>
        <v>Diana</v>
      </c>
    </row>
    <row r="252" spans="1:15" x14ac:dyDescent="0.3">
      <c r="A252" s="10">
        <v>251</v>
      </c>
      <c r="B252" s="18">
        <v>45177</v>
      </c>
      <c r="C252" s="6" t="s">
        <v>270</v>
      </c>
      <c r="D252" s="6" t="s">
        <v>4</v>
      </c>
      <c r="E252" s="6" t="s">
        <v>14</v>
      </c>
      <c r="F252" s="6">
        <v>48</v>
      </c>
      <c r="G252" s="6" t="s">
        <v>17</v>
      </c>
      <c r="H252" s="6">
        <v>4</v>
      </c>
      <c r="I252" s="6">
        <v>414</v>
      </c>
      <c r="J252" s="11">
        <v>1656</v>
      </c>
      <c r="M252" s="6" t="str" cm="1">
        <f t="array" ref="M252">_xlfn.IFS(J252&lt;=500,"Low",J252&gt;=1500,"Mid",J252&lt;=1500,"High",TRUE,"no")</f>
        <v>Mid</v>
      </c>
      <c r="N252" s="6">
        <f t="shared" si="6"/>
        <v>10</v>
      </c>
      <c r="O252" s="6" t="str">
        <f t="shared" si="7"/>
        <v>Alice</v>
      </c>
    </row>
    <row r="253" spans="1:15" x14ac:dyDescent="0.3">
      <c r="A253" s="10">
        <v>252</v>
      </c>
      <c r="B253" s="18">
        <v>45178</v>
      </c>
      <c r="C253" s="6" t="s">
        <v>271</v>
      </c>
      <c r="D253" s="6" t="s">
        <v>3</v>
      </c>
      <c r="E253" s="6" t="s">
        <v>14</v>
      </c>
      <c r="F253" s="6">
        <v>33</v>
      </c>
      <c r="G253" s="6" t="s">
        <v>27</v>
      </c>
      <c r="H253" s="6">
        <v>4</v>
      </c>
      <c r="I253" s="6">
        <v>188</v>
      </c>
      <c r="J253" s="11">
        <v>752</v>
      </c>
      <c r="M253" s="6" t="str" cm="1">
        <f t="array" ref="M253">_xlfn.IFS(J253&lt;=500,"Low",J253&gt;=1500,"Mid",J253&lt;=1500,"High",TRUE,"no")</f>
        <v>High</v>
      </c>
      <c r="N253" s="6">
        <f t="shared" si="6"/>
        <v>7</v>
      </c>
      <c r="O253" s="6" t="str">
        <f t="shared" si="7"/>
        <v>Bob</v>
      </c>
    </row>
    <row r="254" spans="1:15" x14ac:dyDescent="0.3">
      <c r="A254" s="10">
        <v>253</v>
      </c>
      <c r="B254" s="18">
        <v>45179</v>
      </c>
      <c r="C254" s="6" t="s">
        <v>272</v>
      </c>
      <c r="D254" s="6" t="s">
        <v>3</v>
      </c>
      <c r="E254" s="6" t="s">
        <v>19</v>
      </c>
      <c r="F254" s="6">
        <v>49</v>
      </c>
      <c r="G254" s="6" t="s">
        <v>15</v>
      </c>
      <c r="H254" s="6">
        <v>4</v>
      </c>
      <c r="I254" s="6">
        <v>120</v>
      </c>
      <c r="J254" s="11">
        <v>480</v>
      </c>
      <c r="M254" s="6" t="str" cm="1">
        <f t="array" ref="M254">_xlfn.IFS(J254&lt;=500,"Low",J254&gt;=1500,"Mid",J254&lt;=1500,"High",TRUE,"no")</f>
        <v>Low</v>
      </c>
      <c r="N254" s="6">
        <f t="shared" si="6"/>
        <v>7</v>
      </c>
      <c r="O254" s="6" t="str">
        <f t="shared" si="7"/>
        <v>Bob</v>
      </c>
    </row>
    <row r="255" spans="1:15" x14ac:dyDescent="0.3">
      <c r="A255" s="10">
        <v>254</v>
      </c>
      <c r="B255" s="18">
        <v>45180</v>
      </c>
      <c r="C255" s="6" t="s">
        <v>273</v>
      </c>
      <c r="D255" s="6" t="s">
        <v>3</v>
      </c>
      <c r="E255" s="6" t="s">
        <v>14</v>
      </c>
      <c r="F255" s="6">
        <v>27</v>
      </c>
      <c r="G255" s="6" t="s">
        <v>17</v>
      </c>
      <c r="H255" s="6">
        <v>1</v>
      </c>
      <c r="I255" s="6">
        <v>135</v>
      </c>
      <c r="J255" s="11">
        <v>135</v>
      </c>
      <c r="M255" s="6" t="str" cm="1">
        <f t="array" ref="M255">_xlfn.IFS(J255&lt;=500,"Low",J255&gt;=1500,"Mid",J255&lt;=1500,"High",TRUE,"no")</f>
        <v>Low</v>
      </c>
      <c r="N255" s="6">
        <f t="shared" si="6"/>
        <v>7</v>
      </c>
      <c r="O255" s="6" t="str">
        <f t="shared" si="7"/>
        <v>Bob</v>
      </c>
    </row>
    <row r="256" spans="1:15" x14ac:dyDescent="0.3">
      <c r="A256" s="10">
        <v>255</v>
      </c>
      <c r="B256" s="18">
        <v>45181</v>
      </c>
      <c r="C256" s="6" t="s">
        <v>274</v>
      </c>
      <c r="D256" s="6" t="s">
        <v>4</v>
      </c>
      <c r="E256" s="6" t="s">
        <v>19</v>
      </c>
      <c r="F256" s="6">
        <v>32</v>
      </c>
      <c r="G256" s="6" t="s">
        <v>15</v>
      </c>
      <c r="H256" s="6">
        <v>2</v>
      </c>
      <c r="I256" s="6">
        <v>42</v>
      </c>
      <c r="J256" s="11">
        <v>84</v>
      </c>
      <c r="M256" s="6" t="str" cm="1">
        <f t="array" ref="M256">_xlfn.IFS(J256&lt;=500,"Low",J256&gt;=1500,"Mid",J256&lt;=1500,"High",TRUE,"no")</f>
        <v>Low</v>
      </c>
      <c r="N256" s="6">
        <f t="shared" si="6"/>
        <v>10</v>
      </c>
      <c r="O256" s="6" t="str">
        <f t="shared" si="7"/>
        <v>Alice</v>
      </c>
    </row>
    <row r="257" spans="1:15" x14ac:dyDescent="0.3">
      <c r="A257" s="10">
        <v>256</v>
      </c>
      <c r="B257" s="18">
        <v>45182</v>
      </c>
      <c r="C257" s="6" t="s">
        <v>275</v>
      </c>
      <c r="D257" s="6" t="s">
        <v>1</v>
      </c>
      <c r="E257" s="6" t="s">
        <v>19</v>
      </c>
      <c r="F257" s="6">
        <v>57</v>
      </c>
      <c r="G257" s="6" t="s">
        <v>15</v>
      </c>
      <c r="H257" s="6">
        <v>1</v>
      </c>
      <c r="I257" s="6">
        <v>409</v>
      </c>
      <c r="J257" s="11">
        <v>409</v>
      </c>
      <c r="M257" s="6" t="str" cm="1">
        <f t="array" ref="M257">_xlfn.IFS(J257&lt;=500,"Low",J257&gt;=1500,"Mid",J257&lt;=1500,"High",TRUE,"no")</f>
        <v>Low</v>
      </c>
      <c r="N257" s="6">
        <f t="shared" si="6"/>
        <v>1</v>
      </c>
      <c r="O257" s="6" t="str">
        <f t="shared" si="7"/>
        <v>Charlie</v>
      </c>
    </row>
    <row r="258" spans="1:15" x14ac:dyDescent="0.3">
      <c r="A258" s="10">
        <v>257</v>
      </c>
      <c r="B258" s="18">
        <v>45183</v>
      </c>
      <c r="C258" s="6" t="s">
        <v>276</v>
      </c>
      <c r="D258" s="6" t="s">
        <v>4</v>
      </c>
      <c r="E258" s="6" t="s">
        <v>19</v>
      </c>
      <c r="F258" s="6">
        <v>57</v>
      </c>
      <c r="G258" s="6" t="s">
        <v>27</v>
      </c>
      <c r="H258" s="6">
        <v>3</v>
      </c>
      <c r="I258" s="6">
        <v>142</v>
      </c>
      <c r="J258" s="11">
        <v>426</v>
      </c>
      <c r="M258" s="6" t="str" cm="1">
        <f t="array" ref="M258">_xlfn.IFS(J258&lt;=500,"Low",J258&gt;=1500,"Mid",J258&lt;=1500,"High",TRUE,"no")</f>
        <v>Low</v>
      </c>
      <c r="N258" s="6">
        <f t="shared" si="6"/>
        <v>10</v>
      </c>
      <c r="O258" s="6" t="str">
        <f t="shared" si="7"/>
        <v>Alice</v>
      </c>
    </row>
    <row r="259" spans="1:15" x14ac:dyDescent="0.3">
      <c r="A259" s="10">
        <v>258</v>
      </c>
      <c r="B259" s="18">
        <v>45184</v>
      </c>
      <c r="C259" s="6" t="s">
        <v>277</v>
      </c>
      <c r="D259" s="6" t="s">
        <v>1</v>
      </c>
      <c r="E259" s="6" t="s">
        <v>14</v>
      </c>
      <c r="F259" s="6">
        <v>55</v>
      </c>
      <c r="G259" s="6" t="s">
        <v>17</v>
      </c>
      <c r="H259" s="6">
        <v>5</v>
      </c>
      <c r="I259" s="6">
        <v>269</v>
      </c>
      <c r="J259" s="11">
        <v>1345</v>
      </c>
      <c r="M259" s="6" t="str" cm="1">
        <f t="array" ref="M259">_xlfn.IFS(J259&lt;=500,"Low",J259&gt;=1500,"Mid",J259&lt;=1500,"High",TRUE,"no")</f>
        <v>High</v>
      </c>
      <c r="N259" s="6">
        <f t="shared" ref="N259:N322" si="8">MATCH(D259,$D$2:$D$1001,0)</f>
        <v>1</v>
      </c>
      <c r="O259" s="6" t="str">
        <f t="shared" ref="O259:O322" si="9">INDEX(D259:D1258,MATCH($D$2,$D$2:$D$1001,0))</f>
        <v>Charlie</v>
      </c>
    </row>
    <row r="260" spans="1:15" x14ac:dyDescent="0.3">
      <c r="A260" s="10">
        <v>259</v>
      </c>
      <c r="B260" s="18">
        <v>45185</v>
      </c>
      <c r="C260" s="6" t="s">
        <v>278</v>
      </c>
      <c r="D260" s="6" t="s">
        <v>3</v>
      </c>
      <c r="E260" s="6" t="s">
        <v>14</v>
      </c>
      <c r="F260" s="6">
        <v>34</v>
      </c>
      <c r="G260" s="6" t="s">
        <v>17</v>
      </c>
      <c r="H260" s="6">
        <v>5</v>
      </c>
      <c r="I260" s="6">
        <v>456</v>
      </c>
      <c r="J260" s="11">
        <v>2280</v>
      </c>
      <c r="M260" s="6" t="str" cm="1">
        <f t="array" ref="M260">_xlfn.IFS(J260&lt;=500,"Low",J260&gt;=1500,"Mid",J260&lt;=1500,"High",TRUE,"no")</f>
        <v>Mid</v>
      </c>
      <c r="N260" s="6">
        <f t="shared" si="8"/>
        <v>7</v>
      </c>
      <c r="O260" s="6" t="str">
        <f t="shared" si="9"/>
        <v>Bob</v>
      </c>
    </row>
    <row r="261" spans="1:15" x14ac:dyDescent="0.3">
      <c r="A261" s="10">
        <v>260</v>
      </c>
      <c r="B261" s="18">
        <v>45186</v>
      </c>
      <c r="C261" s="6" t="s">
        <v>279</v>
      </c>
      <c r="D261" s="6" t="s">
        <v>2</v>
      </c>
      <c r="E261" s="6" t="s">
        <v>14</v>
      </c>
      <c r="F261" s="6">
        <v>54</v>
      </c>
      <c r="G261" s="6" t="s">
        <v>20</v>
      </c>
      <c r="H261" s="6">
        <v>2</v>
      </c>
      <c r="I261" s="6">
        <v>363</v>
      </c>
      <c r="J261" s="11">
        <v>726</v>
      </c>
      <c r="M261" s="6" t="str" cm="1">
        <f t="array" ref="M261">_xlfn.IFS(J261&lt;=500,"Low",J261&gt;=1500,"Mid",J261&lt;=1500,"High",TRUE,"no")</f>
        <v>High</v>
      </c>
      <c r="N261" s="6">
        <f t="shared" si="8"/>
        <v>2</v>
      </c>
      <c r="O261" s="6" t="str">
        <f t="shared" si="9"/>
        <v>Diana</v>
      </c>
    </row>
    <row r="262" spans="1:15" x14ac:dyDescent="0.3">
      <c r="A262" s="10">
        <v>261</v>
      </c>
      <c r="B262" s="18">
        <v>45187</v>
      </c>
      <c r="C262" s="6" t="s">
        <v>280</v>
      </c>
      <c r="D262" s="6" t="s">
        <v>1</v>
      </c>
      <c r="E262" s="6" t="s">
        <v>14</v>
      </c>
      <c r="F262" s="6">
        <v>41</v>
      </c>
      <c r="G262" s="6" t="s">
        <v>27</v>
      </c>
      <c r="H262" s="6">
        <v>2</v>
      </c>
      <c r="I262" s="6">
        <v>357</v>
      </c>
      <c r="J262" s="11">
        <v>714</v>
      </c>
      <c r="M262" s="6" t="str" cm="1">
        <f t="array" ref="M262">_xlfn.IFS(J262&lt;=500,"Low",J262&gt;=1500,"Mid",J262&lt;=1500,"High",TRUE,"no")</f>
        <v>High</v>
      </c>
      <c r="N262" s="6">
        <f t="shared" si="8"/>
        <v>1</v>
      </c>
      <c r="O262" s="6" t="str">
        <f t="shared" si="9"/>
        <v>Charlie</v>
      </c>
    </row>
    <row r="263" spans="1:15" x14ac:dyDescent="0.3">
      <c r="A263" s="10">
        <v>262</v>
      </c>
      <c r="B263" s="18">
        <v>45188</v>
      </c>
      <c r="C263" s="6" t="s">
        <v>281</v>
      </c>
      <c r="D263" s="6" t="s">
        <v>3</v>
      </c>
      <c r="E263" s="6" t="s">
        <v>14</v>
      </c>
      <c r="F263" s="6">
        <v>50</v>
      </c>
      <c r="G263" s="6" t="s">
        <v>20</v>
      </c>
      <c r="H263" s="6">
        <v>5</v>
      </c>
      <c r="I263" s="6">
        <v>432</v>
      </c>
      <c r="J263" s="11">
        <v>2160</v>
      </c>
      <c r="M263" s="6" t="str" cm="1">
        <f t="array" ref="M263">_xlfn.IFS(J263&lt;=500,"Low",J263&gt;=1500,"Mid",J263&lt;=1500,"High",TRUE,"no")</f>
        <v>Mid</v>
      </c>
      <c r="N263" s="6">
        <f t="shared" si="8"/>
        <v>7</v>
      </c>
      <c r="O263" s="6" t="str">
        <f t="shared" si="9"/>
        <v>Bob</v>
      </c>
    </row>
    <row r="264" spans="1:15" x14ac:dyDescent="0.3">
      <c r="A264" s="10">
        <v>263</v>
      </c>
      <c r="B264" s="18">
        <v>45189</v>
      </c>
      <c r="C264" s="6" t="s">
        <v>282</v>
      </c>
      <c r="D264" s="6" t="s">
        <v>3</v>
      </c>
      <c r="E264" s="6" t="s">
        <v>14</v>
      </c>
      <c r="F264" s="6">
        <v>54</v>
      </c>
      <c r="G264" s="6" t="s">
        <v>17</v>
      </c>
      <c r="H264" s="6">
        <v>5</v>
      </c>
      <c r="I264" s="6">
        <v>122</v>
      </c>
      <c r="J264" s="11">
        <v>610</v>
      </c>
      <c r="M264" s="6" t="str" cm="1">
        <f t="array" ref="M264">_xlfn.IFS(J264&lt;=500,"Low",J264&gt;=1500,"Mid",J264&lt;=1500,"High",TRUE,"no")</f>
        <v>High</v>
      </c>
      <c r="N264" s="6">
        <f t="shared" si="8"/>
        <v>7</v>
      </c>
      <c r="O264" s="6" t="str">
        <f t="shared" si="9"/>
        <v>Bob</v>
      </c>
    </row>
    <row r="265" spans="1:15" x14ac:dyDescent="0.3">
      <c r="A265" s="10">
        <v>264</v>
      </c>
      <c r="B265" s="18">
        <v>45190</v>
      </c>
      <c r="C265" s="6" t="s">
        <v>283</v>
      </c>
      <c r="D265" s="6" t="s">
        <v>1</v>
      </c>
      <c r="E265" s="6" t="s">
        <v>19</v>
      </c>
      <c r="F265" s="6">
        <v>26</v>
      </c>
      <c r="G265" s="6" t="s">
        <v>17</v>
      </c>
      <c r="H265" s="6">
        <v>3</v>
      </c>
      <c r="I265" s="6">
        <v>400</v>
      </c>
      <c r="J265" s="11">
        <v>1200</v>
      </c>
      <c r="M265" s="6" t="str" cm="1">
        <f t="array" ref="M265">_xlfn.IFS(J265&lt;=500,"Low",J265&gt;=1500,"Mid",J265&lt;=1500,"High",TRUE,"no")</f>
        <v>High</v>
      </c>
      <c r="N265" s="6">
        <f t="shared" si="8"/>
        <v>1</v>
      </c>
      <c r="O265" s="6" t="str">
        <f t="shared" si="9"/>
        <v>Charlie</v>
      </c>
    </row>
    <row r="266" spans="1:15" x14ac:dyDescent="0.3">
      <c r="A266" s="10">
        <v>265</v>
      </c>
      <c r="B266" s="18">
        <v>45191</v>
      </c>
      <c r="C266" s="6" t="s">
        <v>284</v>
      </c>
      <c r="D266" s="6" t="s">
        <v>2</v>
      </c>
      <c r="E266" s="6" t="s">
        <v>19</v>
      </c>
      <c r="F266" s="6">
        <v>44</v>
      </c>
      <c r="G266" s="6" t="s">
        <v>20</v>
      </c>
      <c r="H266" s="6">
        <v>4</v>
      </c>
      <c r="I266" s="6">
        <v>311</v>
      </c>
      <c r="J266" s="11">
        <v>1244</v>
      </c>
      <c r="M266" s="6" t="str" cm="1">
        <f t="array" ref="M266">_xlfn.IFS(J266&lt;=500,"Low",J266&gt;=1500,"Mid",J266&lt;=1500,"High",TRUE,"no")</f>
        <v>High</v>
      </c>
      <c r="N266" s="6">
        <f t="shared" si="8"/>
        <v>2</v>
      </c>
      <c r="O266" s="6" t="str">
        <f t="shared" si="9"/>
        <v>Diana</v>
      </c>
    </row>
    <row r="267" spans="1:15" x14ac:dyDescent="0.3">
      <c r="A267" s="10">
        <v>266</v>
      </c>
      <c r="B267" s="18">
        <v>45192</v>
      </c>
      <c r="C267" s="6" t="s">
        <v>285</v>
      </c>
      <c r="D267" s="6" t="s">
        <v>3</v>
      </c>
      <c r="E267" s="6" t="s">
        <v>19</v>
      </c>
      <c r="F267" s="6">
        <v>27</v>
      </c>
      <c r="G267" s="6" t="s">
        <v>15</v>
      </c>
      <c r="H267" s="6">
        <v>3</v>
      </c>
      <c r="I267" s="6">
        <v>500</v>
      </c>
      <c r="J267" s="11">
        <v>1500</v>
      </c>
      <c r="M267" s="6" t="str" cm="1">
        <f t="array" ref="M267">_xlfn.IFS(J267&lt;=500,"Low",J267&gt;=1500,"Mid",J267&lt;=1500,"High",TRUE,"no")</f>
        <v>Mid</v>
      </c>
      <c r="N267" s="6">
        <f t="shared" si="8"/>
        <v>7</v>
      </c>
      <c r="O267" s="6" t="str">
        <f t="shared" si="9"/>
        <v>Bob</v>
      </c>
    </row>
    <row r="268" spans="1:15" x14ac:dyDescent="0.3">
      <c r="A268" s="10">
        <v>267</v>
      </c>
      <c r="B268" s="18">
        <v>45193</v>
      </c>
      <c r="C268" s="6" t="s">
        <v>286</v>
      </c>
      <c r="D268" s="6" t="s">
        <v>1</v>
      </c>
      <c r="E268" s="6" t="s">
        <v>14</v>
      </c>
      <c r="F268" s="6">
        <v>20</v>
      </c>
      <c r="G268" s="6" t="s">
        <v>20</v>
      </c>
      <c r="H268" s="6">
        <v>4</v>
      </c>
      <c r="I268" s="6">
        <v>411</v>
      </c>
      <c r="J268" s="11">
        <v>1644</v>
      </c>
      <c r="M268" s="6" t="str" cm="1">
        <f t="array" ref="M268">_xlfn.IFS(J268&lt;=500,"Low",J268&gt;=1500,"Mid",J268&lt;=1500,"High",TRUE,"no")</f>
        <v>Mid</v>
      </c>
      <c r="N268" s="6">
        <f t="shared" si="8"/>
        <v>1</v>
      </c>
      <c r="O268" s="6" t="str">
        <f t="shared" si="9"/>
        <v>Charlie</v>
      </c>
    </row>
    <row r="269" spans="1:15" x14ac:dyDescent="0.3">
      <c r="A269" s="10">
        <v>268</v>
      </c>
      <c r="B269" s="18">
        <v>45194</v>
      </c>
      <c r="C269" s="6" t="s">
        <v>287</v>
      </c>
      <c r="D269" s="6" t="s">
        <v>2</v>
      </c>
      <c r="E269" s="6" t="s">
        <v>14</v>
      </c>
      <c r="F269" s="6">
        <v>18</v>
      </c>
      <c r="G269" s="6" t="s">
        <v>27</v>
      </c>
      <c r="H269" s="6">
        <v>2</v>
      </c>
      <c r="I269" s="6">
        <v>49</v>
      </c>
      <c r="J269" s="11">
        <v>98</v>
      </c>
      <c r="M269" s="6" t="str" cm="1">
        <f t="array" ref="M269">_xlfn.IFS(J269&lt;=500,"Low",J269&gt;=1500,"Mid",J269&lt;=1500,"High",TRUE,"no")</f>
        <v>Low</v>
      </c>
      <c r="N269" s="6">
        <f t="shared" si="8"/>
        <v>2</v>
      </c>
      <c r="O269" s="6" t="str">
        <f t="shared" si="9"/>
        <v>Diana</v>
      </c>
    </row>
    <row r="270" spans="1:15" x14ac:dyDescent="0.3">
      <c r="A270" s="10">
        <v>269</v>
      </c>
      <c r="B270" s="18">
        <v>45195</v>
      </c>
      <c r="C270" s="6" t="s">
        <v>288</v>
      </c>
      <c r="D270" s="6" t="s">
        <v>2</v>
      </c>
      <c r="E270" s="6" t="s">
        <v>19</v>
      </c>
      <c r="F270" s="6">
        <v>38</v>
      </c>
      <c r="G270" s="6" t="s">
        <v>23</v>
      </c>
      <c r="H270" s="6">
        <v>5</v>
      </c>
      <c r="I270" s="6">
        <v>38</v>
      </c>
      <c r="J270" s="11">
        <v>190</v>
      </c>
      <c r="M270" s="6" t="str" cm="1">
        <f t="array" ref="M270">_xlfn.IFS(J270&lt;=500,"Low",J270&gt;=1500,"Mid",J270&lt;=1500,"High",TRUE,"no")</f>
        <v>Low</v>
      </c>
      <c r="N270" s="6">
        <f t="shared" si="8"/>
        <v>2</v>
      </c>
      <c r="O270" s="6" t="str">
        <f t="shared" si="9"/>
        <v>Diana</v>
      </c>
    </row>
    <row r="271" spans="1:15" x14ac:dyDescent="0.3">
      <c r="A271" s="10">
        <v>270</v>
      </c>
      <c r="B271" s="18">
        <v>45196</v>
      </c>
      <c r="C271" s="6" t="s">
        <v>289</v>
      </c>
      <c r="D271" s="6" t="s">
        <v>3</v>
      </c>
      <c r="E271" s="6" t="s">
        <v>19</v>
      </c>
      <c r="F271" s="6">
        <v>56</v>
      </c>
      <c r="G271" s="6" t="s">
        <v>20</v>
      </c>
      <c r="H271" s="6">
        <v>1</v>
      </c>
      <c r="I271" s="6">
        <v>210</v>
      </c>
      <c r="J271" s="11">
        <v>210</v>
      </c>
      <c r="M271" s="6" t="str" cm="1">
        <f t="array" ref="M271">_xlfn.IFS(J271&lt;=500,"Low",J271&gt;=1500,"Mid",J271&lt;=1500,"High",TRUE,"no")</f>
        <v>Low</v>
      </c>
      <c r="N271" s="6">
        <f t="shared" si="8"/>
        <v>7</v>
      </c>
      <c r="O271" s="6" t="str">
        <f t="shared" si="9"/>
        <v>Bob</v>
      </c>
    </row>
    <row r="272" spans="1:15" x14ac:dyDescent="0.3">
      <c r="A272" s="10">
        <v>271</v>
      </c>
      <c r="B272" s="18">
        <v>45197</v>
      </c>
      <c r="C272" s="6" t="s">
        <v>290</v>
      </c>
      <c r="D272" s="6" t="s">
        <v>4</v>
      </c>
      <c r="E272" s="6" t="s">
        <v>14</v>
      </c>
      <c r="F272" s="6">
        <v>18</v>
      </c>
      <c r="G272" s="6" t="s">
        <v>15</v>
      </c>
      <c r="H272" s="6">
        <v>2</v>
      </c>
      <c r="I272" s="6">
        <v>126</v>
      </c>
      <c r="J272" s="11">
        <v>252</v>
      </c>
      <c r="M272" s="6" t="str" cm="1">
        <f t="array" ref="M272">_xlfn.IFS(J272&lt;=500,"Low",J272&gt;=1500,"Mid",J272&lt;=1500,"High",TRUE,"no")</f>
        <v>Low</v>
      </c>
      <c r="N272" s="6">
        <f t="shared" si="8"/>
        <v>10</v>
      </c>
      <c r="O272" s="6" t="str">
        <f t="shared" si="9"/>
        <v>Alice</v>
      </c>
    </row>
    <row r="273" spans="1:15" x14ac:dyDescent="0.3">
      <c r="A273" s="10">
        <v>272</v>
      </c>
      <c r="B273" s="18">
        <v>45198</v>
      </c>
      <c r="C273" s="6" t="s">
        <v>291</v>
      </c>
      <c r="D273" s="6" t="s">
        <v>4</v>
      </c>
      <c r="E273" s="6" t="s">
        <v>14</v>
      </c>
      <c r="F273" s="6">
        <v>31</v>
      </c>
      <c r="G273" s="6" t="s">
        <v>20</v>
      </c>
      <c r="H273" s="6">
        <v>1</v>
      </c>
      <c r="I273" s="6">
        <v>413</v>
      </c>
      <c r="J273" s="11">
        <v>413</v>
      </c>
      <c r="M273" s="6" t="str" cm="1">
        <f t="array" ref="M273">_xlfn.IFS(J273&lt;=500,"Low",J273&gt;=1500,"Mid",J273&lt;=1500,"High",TRUE,"no")</f>
        <v>Low</v>
      </c>
      <c r="N273" s="6">
        <f t="shared" si="8"/>
        <v>10</v>
      </c>
      <c r="O273" s="6" t="str">
        <f t="shared" si="9"/>
        <v>Alice</v>
      </c>
    </row>
    <row r="274" spans="1:15" x14ac:dyDescent="0.3">
      <c r="A274" s="10">
        <v>273</v>
      </c>
      <c r="B274" s="18">
        <v>45199</v>
      </c>
      <c r="C274" s="6" t="s">
        <v>292</v>
      </c>
      <c r="D274" s="6" t="s">
        <v>3</v>
      </c>
      <c r="E274" s="6" t="s">
        <v>14</v>
      </c>
      <c r="F274" s="6">
        <v>56</v>
      </c>
      <c r="G274" s="6" t="s">
        <v>27</v>
      </c>
      <c r="H274" s="6">
        <v>2</v>
      </c>
      <c r="I274" s="6">
        <v>260</v>
      </c>
      <c r="J274" s="11">
        <v>520</v>
      </c>
      <c r="M274" s="6" t="str" cm="1">
        <f t="array" ref="M274">_xlfn.IFS(J274&lt;=500,"Low",J274&gt;=1500,"Mid",J274&lt;=1500,"High",TRUE,"no")</f>
        <v>High</v>
      </c>
      <c r="N274" s="6">
        <f t="shared" si="8"/>
        <v>7</v>
      </c>
      <c r="O274" s="6" t="str">
        <f t="shared" si="9"/>
        <v>Bob</v>
      </c>
    </row>
    <row r="275" spans="1:15" x14ac:dyDescent="0.3">
      <c r="A275" s="10">
        <v>274</v>
      </c>
      <c r="B275" s="18">
        <v>45200</v>
      </c>
      <c r="C275" s="6" t="s">
        <v>293</v>
      </c>
      <c r="D275" s="6" t="s">
        <v>2</v>
      </c>
      <c r="E275" s="6" t="s">
        <v>19</v>
      </c>
      <c r="F275" s="6">
        <v>23</v>
      </c>
      <c r="G275" s="6" t="s">
        <v>15</v>
      </c>
      <c r="H275" s="6">
        <v>1</v>
      </c>
      <c r="I275" s="6">
        <v>50</v>
      </c>
      <c r="J275" s="11">
        <v>50</v>
      </c>
      <c r="M275" s="6" t="str" cm="1">
        <f t="array" ref="M275">_xlfn.IFS(J275&lt;=500,"Low",J275&gt;=1500,"Mid",J275&lt;=1500,"High",TRUE,"no")</f>
        <v>Low</v>
      </c>
      <c r="N275" s="6">
        <f t="shared" si="8"/>
        <v>2</v>
      </c>
      <c r="O275" s="6" t="str">
        <f t="shared" si="9"/>
        <v>Diana</v>
      </c>
    </row>
    <row r="276" spans="1:15" x14ac:dyDescent="0.3">
      <c r="A276" s="10">
        <v>275</v>
      </c>
      <c r="B276" s="18">
        <v>45201</v>
      </c>
      <c r="C276" s="6" t="s">
        <v>294</v>
      </c>
      <c r="D276" s="6" t="s">
        <v>3</v>
      </c>
      <c r="E276" s="6" t="s">
        <v>14</v>
      </c>
      <c r="F276" s="6">
        <v>23</v>
      </c>
      <c r="G276" s="6" t="s">
        <v>27</v>
      </c>
      <c r="H276" s="6">
        <v>1</v>
      </c>
      <c r="I276" s="6">
        <v>494</v>
      </c>
      <c r="J276" s="11">
        <v>494</v>
      </c>
      <c r="M276" s="6" t="str" cm="1">
        <f t="array" ref="M276">_xlfn.IFS(J276&lt;=500,"Low",J276&gt;=1500,"Mid",J276&lt;=1500,"High",TRUE,"no")</f>
        <v>Low</v>
      </c>
      <c r="N276" s="6">
        <f t="shared" si="8"/>
        <v>7</v>
      </c>
      <c r="O276" s="6" t="str">
        <f t="shared" si="9"/>
        <v>Bob</v>
      </c>
    </row>
    <row r="277" spans="1:15" x14ac:dyDescent="0.3">
      <c r="A277" s="10">
        <v>276</v>
      </c>
      <c r="B277" s="18">
        <v>45202</v>
      </c>
      <c r="C277" s="6" t="s">
        <v>295</v>
      </c>
      <c r="D277" s="6" t="s">
        <v>1</v>
      </c>
      <c r="E277" s="6" t="s">
        <v>19</v>
      </c>
      <c r="F277" s="6">
        <v>34</v>
      </c>
      <c r="G277" s="6" t="s">
        <v>15</v>
      </c>
      <c r="H277" s="6">
        <v>4</v>
      </c>
      <c r="I277" s="6">
        <v>347</v>
      </c>
      <c r="J277" s="11">
        <v>1388</v>
      </c>
      <c r="M277" s="6" t="str" cm="1">
        <f t="array" ref="M277">_xlfn.IFS(J277&lt;=500,"Low",J277&gt;=1500,"Mid",J277&lt;=1500,"High",TRUE,"no")</f>
        <v>High</v>
      </c>
      <c r="N277" s="6">
        <f t="shared" si="8"/>
        <v>1</v>
      </c>
      <c r="O277" s="6" t="str">
        <f t="shared" si="9"/>
        <v>Charlie</v>
      </c>
    </row>
    <row r="278" spans="1:15" x14ac:dyDescent="0.3">
      <c r="A278" s="10">
        <v>277</v>
      </c>
      <c r="B278" s="18">
        <v>45203</v>
      </c>
      <c r="C278" s="6" t="s">
        <v>296</v>
      </c>
      <c r="D278" s="6" t="s">
        <v>4</v>
      </c>
      <c r="E278" s="6" t="s">
        <v>19</v>
      </c>
      <c r="F278" s="6">
        <v>25</v>
      </c>
      <c r="G278" s="6" t="s">
        <v>23</v>
      </c>
      <c r="H278" s="6">
        <v>2</v>
      </c>
      <c r="I278" s="6">
        <v>165</v>
      </c>
      <c r="J278" s="11">
        <v>330</v>
      </c>
      <c r="M278" s="6" t="str" cm="1">
        <f t="array" ref="M278">_xlfn.IFS(J278&lt;=500,"Low",J278&gt;=1500,"Mid",J278&lt;=1500,"High",TRUE,"no")</f>
        <v>Low</v>
      </c>
      <c r="N278" s="6">
        <f t="shared" si="8"/>
        <v>10</v>
      </c>
      <c r="O278" s="6" t="str">
        <f t="shared" si="9"/>
        <v>Alice</v>
      </c>
    </row>
    <row r="279" spans="1:15" x14ac:dyDescent="0.3">
      <c r="A279" s="10">
        <v>278</v>
      </c>
      <c r="B279" s="18">
        <v>45204</v>
      </c>
      <c r="C279" s="6" t="s">
        <v>297</v>
      </c>
      <c r="D279" s="6" t="s">
        <v>1</v>
      </c>
      <c r="E279" s="6" t="s">
        <v>19</v>
      </c>
      <c r="F279" s="6">
        <v>51</v>
      </c>
      <c r="G279" s="6" t="s">
        <v>20</v>
      </c>
      <c r="H279" s="6">
        <v>2</v>
      </c>
      <c r="I279" s="6">
        <v>273</v>
      </c>
      <c r="J279" s="11">
        <v>546</v>
      </c>
      <c r="M279" s="6" t="str" cm="1">
        <f t="array" ref="M279">_xlfn.IFS(J279&lt;=500,"Low",J279&gt;=1500,"Mid",J279&lt;=1500,"High",TRUE,"no")</f>
        <v>High</v>
      </c>
      <c r="N279" s="6">
        <f t="shared" si="8"/>
        <v>1</v>
      </c>
      <c r="O279" s="6" t="str">
        <f t="shared" si="9"/>
        <v>Charlie</v>
      </c>
    </row>
    <row r="280" spans="1:15" x14ac:dyDescent="0.3">
      <c r="A280" s="10">
        <v>279</v>
      </c>
      <c r="B280" s="18">
        <v>45205</v>
      </c>
      <c r="C280" s="6" t="s">
        <v>298</v>
      </c>
      <c r="D280" s="6" t="s">
        <v>3</v>
      </c>
      <c r="E280" s="6" t="s">
        <v>14</v>
      </c>
      <c r="F280" s="6">
        <v>19</v>
      </c>
      <c r="G280" s="6" t="s">
        <v>15</v>
      </c>
      <c r="H280" s="6">
        <v>1</v>
      </c>
      <c r="I280" s="6">
        <v>368</v>
      </c>
      <c r="J280" s="11">
        <v>368</v>
      </c>
      <c r="M280" s="6" t="str" cm="1">
        <f t="array" ref="M280">_xlfn.IFS(J280&lt;=500,"Low",J280&gt;=1500,"Mid",J280&lt;=1500,"High",TRUE,"no")</f>
        <v>Low</v>
      </c>
      <c r="N280" s="6">
        <f t="shared" si="8"/>
        <v>7</v>
      </c>
      <c r="O280" s="6" t="str">
        <f t="shared" si="9"/>
        <v>Bob</v>
      </c>
    </row>
    <row r="281" spans="1:15" x14ac:dyDescent="0.3">
      <c r="A281" s="10">
        <v>280</v>
      </c>
      <c r="B281" s="18">
        <v>45206</v>
      </c>
      <c r="C281" s="6" t="s">
        <v>299</v>
      </c>
      <c r="D281" s="6" t="s">
        <v>3</v>
      </c>
      <c r="E281" s="6" t="s">
        <v>19</v>
      </c>
      <c r="F281" s="6">
        <v>56</v>
      </c>
      <c r="G281" s="6" t="s">
        <v>17</v>
      </c>
      <c r="H281" s="6">
        <v>3</v>
      </c>
      <c r="I281" s="6">
        <v>285</v>
      </c>
      <c r="J281" s="11">
        <v>855</v>
      </c>
      <c r="M281" s="6" t="str" cm="1">
        <f t="array" ref="M281">_xlfn.IFS(J281&lt;=500,"Low",J281&gt;=1500,"Mid",J281&lt;=1500,"High",TRUE,"no")</f>
        <v>High</v>
      </c>
      <c r="N281" s="6">
        <f t="shared" si="8"/>
        <v>7</v>
      </c>
      <c r="O281" s="6" t="str">
        <f t="shared" si="9"/>
        <v>Bob</v>
      </c>
    </row>
    <row r="282" spans="1:15" x14ac:dyDescent="0.3">
      <c r="A282" s="10">
        <v>281</v>
      </c>
      <c r="B282" s="18">
        <v>45207</v>
      </c>
      <c r="C282" s="6" t="s">
        <v>300</v>
      </c>
      <c r="D282" s="6" t="s">
        <v>2</v>
      </c>
      <c r="E282" s="6" t="s">
        <v>14</v>
      </c>
      <c r="F282" s="6">
        <v>55</v>
      </c>
      <c r="G282" s="6" t="s">
        <v>15</v>
      </c>
      <c r="H282" s="6">
        <v>5</v>
      </c>
      <c r="I282" s="6">
        <v>350</v>
      </c>
      <c r="J282" s="11">
        <v>1750</v>
      </c>
      <c r="M282" s="6" t="str" cm="1">
        <f t="array" ref="M282">_xlfn.IFS(J282&lt;=500,"Low",J282&gt;=1500,"Mid",J282&lt;=1500,"High",TRUE,"no")</f>
        <v>Mid</v>
      </c>
      <c r="N282" s="6">
        <f t="shared" si="8"/>
        <v>2</v>
      </c>
      <c r="O282" s="6" t="str">
        <f t="shared" si="9"/>
        <v>Diana</v>
      </c>
    </row>
    <row r="283" spans="1:15" x14ac:dyDescent="0.3">
      <c r="A283" s="10">
        <v>282</v>
      </c>
      <c r="B283" s="18">
        <v>45208</v>
      </c>
      <c r="C283" s="6" t="s">
        <v>301</v>
      </c>
      <c r="D283" s="6" t="s">
        <v>2</v>
      </c>
      <c r="E283" s="6" t="s">
        <v>19</v>
      </c>
      <c r="F283" s="6">
        <v>29</v>
      </c>
      <c r="G283" s="6" t="s">
        <v>27</v>
      </c>
      <c r="H283" s="6">
        <v>2</v>
      </c>
      <c r="I283" s="6">
        <v>183</v>
      </c>
      <c r="J283" s="11">
        <v>366</v>
      </c>
      <c r="M283" s="6" t="str" cm="1">
        <f t="array" ref="M283">_xlfn.IFS(J283&lt;=500,"Low",J283&gt;=1500,"Mid",J283&lt;=1500,"High",TRUE,"no")</f>
        <v>Low</v>
      </c>
      <c r="N283" s="6">
        <f t="shared" si="8"/>
        <v>2</v>
      </c>
      <c r="O283" s="6" t="str">
        <f t="shared" si="9"/>
        <v>Diana</v>
      </c>
    </row>
    <row r="284" spans="1:15" x14ac:dyDescent="0.3">
      <c r="A284" s="10">
        <v>283</v>
      </c>
      <c r="B284" s="18">
        <v>45209</v>
      </c>
      <c r="C284" s="6" t="s">
        <v>302</v>
      </c>
      <c r="D284" s="6" t="s">
        <v>2</v>
      </c>
      <c r="E284" s="6" t="s">
        <v>19</v>
      </c>
      <c r="F284" s="6">
        <v>28</v>
      </c>
      <c r="G284" s="6" t="s">
        <v>27</v>
      </c>
      <c r="H284" s="6">
        <v>5</v>
      </c>
      <c r="I284" s="6">
        <v>489</v>
      </c>
      <c r="J284" s="11">
        <v>2445</v>
      </c>
      <c r="M284" s="6" t="str" cm="1">
        <f t="array" ref="M284">_xlfn.IFS(J284&lt;=500,"Low",J284&gt;=1500,"Mid",J284&lt;=1500,"High",TRUE,"no")</f>
        <v>Mid</v>
      </c>
      <c r="N284" s="6">
        <f t="shared" si="8"/>
        <v>2</v>
      </c>
      <c r="O284" s="6" t="str">
        <f t="shared" si="9"/>
        <v>Diana</v>
      </c>
    </row>
    <row r="285" spans="1:15" x14ac:dyDescent="0.3">
      <c r="A285" s="10">
        <v>284</v>
      </c>
      <c r="B285" s="18">
        <v>45210</v>
      </c>
      <c r="C285" s="6" t="s">
        <v>303</v>
      </c>
      <c r="D285" s="6" t="s">
        <v>1</v>
      </c>
      <c r="E285" s="6" t="s">
        <v>19</v>
      </c>
      <c r="F285" s="6">
        <v>32</v>
      </c>
      <c r="G285" s="6" t="s">
        <v>15</v>
      </c>
      <c r="H285" s="6">
        <v>2</v>
      </c>
      <c r="I285" s="6">
        <v>103</v>
      </c>
      <c r="J285" s="11">
        <v>206</v>
      </c>
      <c r="M285" s="6" t="str" cm="1">
        <f t="array" ref="M285">_xlfn.IFS(J285&lt;=500,"Low",J285&gt;=1500,"Mid",J285&lt;=1500,"High",TRUE,"no")</f>
        <v>Low</v>
      </c>
      <c r="N285" s="6">
        <f t="shared" si="8"/>
        <v>1</v>
      </c>
      <c r="O285" s="6" t="str">
        <f t="shared" si="9"/>
        <v>Charlie</v>
      </c>
    </row>
    <row r="286" spans="1:15" x14ac:dyDescent="0.3">
      <c r="A286" s="10">
        <v>285</v>
      </c>
      <c r="B286" s="18">
        <v>45211</v>
      </c>
      <c r="C286" s="6" t="s">
        <v>304</v>
      </c>
      <c r="D286" s="6" t="s">
        <v>2</v>
      </c>
      <c r="E286" s="6" t="s">
        <v>14</v>
      </c>
      <c r="F286" s="6">
        <v>26</v>
      </c>
      <c r="G286" s="6" t="s">
        <v>15</v>
      </c>
      <c r="H286" s="6">
        <v>2</v>
      </c>
      <c r="I286" s="6">
        <v>271</v>
      </c>
      <c r="J286" s="11">
        <v>542</v>
      </c>
      <c r="M286" s="6" t="str" cm="1">
        <f t="array" ref="M286">_xlfn.IFS(J286&lt;=500,"Low",J286&gt;=1500,"Mid",J286&lt;=1500,"High",TRUE,"no")</f>
        <v>High</v>
      </c>
      <c r="N286" s="6">
        <f t="shared" si="8"/>
        <v>2</v>
      </c>
      <c r="O286" s="6" t="str">
        <f t="shared" si="9"/>
        <v>Diana</v>
      </c>
    </row>
    <row r="287" spans="1:15" x14ac:dyDescent="0.3">
      <c r="A287" s="10">
        <v>286</v>
      </c>
      <c r="B287" s="18">
        <v>45212</v>
      </c>
      <c r="C287" s="6" t="s">
        <v>305</v>
      </c>
      <c r="D287" s="6" t="s">
        <v>3</v>
      </c>
      <c r="E287" s="6" t="s">
        <v>14</v>
      </c>
      <c r="F287" s="6">
        <v>31</v>
      </c>
      <c r="G287" s="6" t="s">
        <v>27</v>
      </c>
      <c r="H287" s="6">
        <v>1</v>
      </c>
      <c r="I287" s="6">
        <v>130</v>
      </c>
      <c r="J287" s="11">
        <v>130</v>
      </c>
      <c r="M287" s="6" t="str" cm="1">
        <f t="array" ref="M287">_xlfn.IFS(J287&lt;=500,"Low",J287&gt;=1500,"Mid",J287&lt;=1500,"High",TRUE,"no")</f>
        <v>Low</v>
      </c>
      <c r="N287" s="6">
        <f t="shared" si="8"/>
        <v>7</v>
      </c>
      <c r="O287" s="6" t="str">
        <f t="shared" si="9"/>
        <v>Bob</v>
      </c>
    </row>
    <row r="288" spans="1:15" x14ac:dyDescent="0.3">
      <c r="A288" s="10">
        <v>287</v>
      </c>
      <c r="B288" s="18">
        <v>45213</v>
      </c>
      <c r="C288" s="6" t="s">
        <v>306</v>
      </c>
      <c r="D288" s="6" t="s">
        <v>2</v>
      </c>
      <c r="E288" s="6" t="s">
        <v>19</v>
      </c>
      <c r="F288" s="6">
        <v>57</v>
      </c>
      <c r="G288" s="6" t="s">
        <v>27</v>
      </c>
      <c r="H288" s="6">
        <v>3</v>
      </c>
      <c r="I288" s="6">
        <v>323</v>
      </c>
      <c r="J288" s="11">
        <v>969</v>
      </c>
      <c r="M288" s="6" t="str" cm="1">
        <f t="array" ref="M288">_xlfn.IFS(J288&lt;=500,"Low",J288&gt;=1500,"Mid",J288&lt;=1500,"High",TRUE,"no")</f>
        <v>High</v>
      </c>
      <c r="N288" s="6">
        <f t="shared" si="8"/>
        <v>2</v>
      </c>
      <c r="O288" s="6" t="str">
        <f t="shared" si="9"/>
        <v>Diana</v>
      </c>
    </row>
    <row r="289" spans="1:15" x14ac:dyDescent="0.3">
      <c r="A289" s="10">
        <v>288</v>
      </c>
      <c r="B289" s="18">
        <v>45214</v>
      </c>
      <c r="C289" s="6" t="s">
        <v>307</v>
      </c>
      <c r="D289" s="6" t="s">
        <v>4</v>
      </c>
      <c r="E289" s="6" t="s">
        <v>19</v>
      </c>
      <c r="F289" s="6">
        <v>29</v>
      </c>
      <c r="G289" s="6" t="s">
        <v>27</v>
      </c>
      <c r="H289" s="6">
        <v>2</v>
      </c>
      <c r="I289" s="6">
        <v>68</v>
      </c>
      <c r="J289" s="11">
        <v>136</v>
      </c>
      <c r="M289" s="6" t="str" cm="1">
        <f t="array" ref="M289">_xlfn.IFS(J289&lt;=500,"Low",J289&gt;=1500,"Mid",J289&lt;=1500,"High",TRUE,"no")</f>
        <v>Low</v>
      </c>
      <c r="N289" s="6">
        <f t="shared" si="8"/>
        <v>10</v>
      </c>
      <c r="O289" s="6" t="str">
        <f t="shared" si="9"/>
        <v>Alice</v>
      </c>
    </row>
    <row r="290" spans="1:15" x14ac:dyDescent="0.3">
      <c r="A290" s="10">
        <v>289</v>
      </c>
      <c r="B290" s="18">
        <v>45215</v>
      </c>
      <c r="C290" s="6" t="s">
        <v>308</v>
      </c>
      <c r="D290" s="6" t="s">
        <v>2</v>
      </c>
      <c r="E290" s="6" t="s">
        <v>19</v>
      </c>
      <c r="F290" s="6">
        <v>30</v>
      </c>
      <c r="G290" s="6" t="s">
        <v>23</v>
      </c>
      <c r="H290" s="6">
        <v>3</v>
      </c>
      <c r="I290" s="6">
        <v>292</v>
      </c>
      <c r="J290" s="11">
        <v>876</v>
      </c>
      <c r="M290" s="6" t="str" cm="1">
        <f t="array" ref="M290">_xlfn.IFS(J290&lt;=500,"Low",J290&gt;=1500,"Mid",J290&lt;=1500,"High",TRUE,"no")</f>
        <v>High</v>
      </c>
      <c r="N290" s="6">
        <f t="shared" si="8"/>
        <v>2</v>
      </c>
      <c r="O290" s="6" t="str">
        <f t="shared" si="9"/>
        <v>Diana</v>
      </c>
    </row>
    <row r="291" spans="1:15" x14ac:dyDescent="0.3">
      <c r="A291" s="10">
        <v>290</v>
      </c>
      <c r="B291" s="18">
        <v>45216</v>
      </c>
      <c r="C291" s="6" t="s">
        <v>309</v>
      </c>
      <c r="D291" s="6" t="s">
        <v>1</v>
      </c>
      <c r="E291" s="6" t="s">
        <v>14</v>
      </c>
      <c r="F291" s="6">
        <v>24</v>
      </c>
      <c r="G291" s="6" t="s">
        <v>23</v>
      </c>
      <c r="H291" s="6">
        <v>1</v>
      </c>
      <c r="I291" s="6">
        <v>209</v>
      </c>
      <c r="J291" s="11">
        <v>209</v>
      </c>
      <c r="M291" s="6" t="str" cm="1">
        <f t="array" ref="M291">_xlfn.IFS(J291&lt;=500,"Low",J291&gt;=1500,"Mid",J291&lt;=1500,"High",TRUE,"no")</f>
        <v>Low</v>
      </c>
      <c r="N291" s="6">
        <f t="shared" si="8"/>
        <v>1</v>
      </c>
      <c r="O291" s="6" t="str">
        <f t="shared" si="9"/>
        <v>Charlie</v>
      </c>
    </row>
    <row r="292" spans="1:15" x14ac:dyDescent="0.3">
      <c r="A292" s="10">
        <v>291</v>
      </c>
      <c r="B292" s="18">
        <v>45217</v>
      </c>
      <c r="C292" s="6" t="s">
        <v>310</v>
      </c>
      <c r="D292" s="6" t="s">
        <v>4</v>
      </c>
      <c r="E292" s="6" t="s">
        <v>14</v>
      </c>
      <c r="F292" s="6">
        <v>22</v>
      </c>
      <c r="G292" s="6" t="s">
        <v>20</v>
      </c>
      <c r="H292" s="6">
        <v>3</v>
      </c>
      <c r="I292" s="6">
        <v>187</v>
      </c>
      <c r="J292" s="11">
        <v>561</v>
      </c>
      <c r="M292" s="6" t="str" cm="1">
        <f t="array" ref="M292">_xlfn.IFS(J292&lt;=500,"Low",J292&gt;=1500,"Mid",J292&lt;=1500,"High",TRUE,"no")</f>
        <v>High</v>
      </c>
      <c r="N292" s="6">
        <f t="shared" si="8"/>
        <v>10</v>
      </c>
      <c r="O292" s="6" t="str">
        <f t="shared" si="9"/>
        <v>Alice</v>
      </c>
    </row>
    <row r="293" spans="1:15" x14ac:dyDescent="0.3">
      <c r="A293" s="10">
        <v>292</v>
      </c>
      <c r="B293" s="18">
        <v>45218</v>
      </c>
      <c r="C293" s="6" t="s">
        <v>311</v>
      </c>
      <c r="D293" s="6" t="s">
        <v>4</v>
      </c>
      <c r="E293" s="6" t="s">
        <v>14</v>
      </c>
      <c r="F293" s="6">
        <v>46</v>
      </c>
      <c r="G293" s="6" t="s">
        <v>20</v>
      </c>
      <c r="H293" s="6">
        <v>1</v>
      </c>
      <c r="I293" s="6">
        <v>317</v>
      </c>
      <c r="J293" s="11">
        <v>317</v>
      </c>
      <c r="M293" s="6" t="str" cm="1">
        <f t="array" ref="M293">_xlfn.IFS(J293&lt;=500,"Low",J293&gt;=1500,"Mid",J293&lt;=1500,"High",TRUE,"no")</f>
        <v>Low</v>
      </c>
      <c r="N293" s="6">
        <f t="shared" si="8"/>
        <v>10</v>
      </c>
      <c r="O293" s="6" t="str">
        <f t="shared" si="9"/>
        <v>Alice</v>
      </c>
    </row>
    <row r="294" spans="1:15" x14ac:dyDescent="0.3">
      <c r="A294" s="10">
        <v>293</v>
      </c>
      <c r="B294" s="18">
        <v>45219</v>
      </c>
      <c r="C294" s="6" t="s">
        <v>312</v>
      </c>
      <c r="D294" s="6" t="s">
        <v>4</v>
      </c>
      <c r="E294" s="6" t="s">
        <v>19</v>
      </c>
      <c r="F294" s="6">
        <v>50</v>
      </c>
      <c r="G294" s="6" t="s">
        <v>27</v>
      </c>
      <c r="H294" s="6">
        <v>4</v>
      </c>
      <c r="I294" s="6">
        <v>225</v>
      </c>
      <c r="J294" s="11">
        <v>900</v>
      </c>
      <c r="M294" s="6" t="str" cm="1">
        <f t="array" ref="M294">_xlfn.IFS(J294&lt;=500,"Low",J294&gt;=1500,"Mid",J294&lt;=1500,"High",TRUE,"no")</f>
        <v>High</v>
      </c>
      <c r="N294" s="6">
        <f t="shared" si="8"/>
        <v>10</v>
      </c>
      <c r="O294" s="6" t="str">
        <f t="shared" si="9"/>
        <v>Alice</v>
      </c>
    </row>
    <row r="295" spans="1:15" x14ac:dyDescent="0.3">
      <c r="A295" s="10">
        <v>294</v>
      </c>
      <c r="B295" s="18">
        <v>45220</v>
      </c>
      <c r="C295" s="6" t="s">
        <v>313</v>
      </c>
      <c r="D295" s="6" t="s">
        <v>1</v>
      </c>
      <c r="E295" s="6" t="s">
        <v>19</v>
      </c>
      <c r="F295" s="6">
        <v>39</v>
      </c>
      <c r="G295" s="6" t="s">
        <v>23</v>
      </c>
      <c r="H295" s="6">
        <v>2</v>
      </c>
      <c r="I295" s="6">
        <v>127</v>
      </c>
      <c r="J295" s="11">
        <v>254</v>
      </c>
      <c r="M295" s="6" t="str" cm="1">
        <f t="array" ref="M295">_xlfn.IFS(J295&lt;=500,"Low",J295&gt;=1500,"Mid",J295&lt;=1500,"High",TRUE,"no")</f>
        <v>Low</v>
      </c>
      <c r="N295" s="6">
        <f t="shared" si="8"/>
        <v>1</v>
      </c>
      <c r="O295" s="6" t="str">
        <f t="shared" si="9"/>
        <v>Charlie</v>
      </c>
    </row>
    <row r="296" spans="1:15" x14ac:dyDescent="0.3">
      <c r="A296" s="10">
        <v>295</v>
      </c>
      <c r="B296" s="18">
        <v>45221</v>
      </c>
      <c r="C296" s="6" t="s">
        <v>314</v>
      </c>
      <c r="D296" s="6" t="s">
        <v>3</v>
      </c>
      <c r="E296" s="6" t="s">
        <v>14</v>
      </c>
      <c r="F296" s="6">
        <v>31</v>
      </c>
      <c r="G296" s="6" t="s">
        <v>27</v>
      </c>
      <c r="H296" s="6">
        <v>3</v>
      </c>
      <c r="I296" s="6">
        <v>203</v>
      </c>
      <c r="J296" s="11">
        <v>609</v>
      </c>
      <c r="M296" s="6" t="str" cm="1">
        <f t="array" ref="M296">_xlfn.IFS(J296&lt;=500,"Low",J296&gt;=1500,"Mid",J296&lt;=1500,"High",TRUE,"no")</f>
        <v>High</v>
      </c>
      <c r="N296" s="6">
        <f t="shared" si="8"/>
        <v>7</v>
      </c>
      <c r="O296" s="6" t="str">
        <f t="shared" si="9"/>
        <v>Bob</v>
      </c>
    </row>
    <row r="297" spans="1:15" x14ac:dyDescent="0.3">
      <c r="A297" s="10">
        <v>296</v>
      </c>
      <c r="B297" s="18">
        <v>45222</v>
      </c>
      <c r="C297" s="6" t="s">
        <v>315</v>
      </c>
      <c r="D297" s="6" t="s">
        <v>2</v>
      </c>
      <c r="E297" s="6" t="s">
        <v>19</v>
      </c>
      <c r="F297" s="6">
        <v>46</v>
      </c>
      <c r="G297" s="6" t="s">
        <v>27</v>
      </c>
      <c r="H297" s="6">
        <v>5</v>
      </c>
      <c r="I297" s="6">
        <v>434</v>
      </c>
      <c r="J297" s="11">
        <v>2170</v>
      </c>
      <c r="M297" s="6" t="str" cm="1">
        <f t="array" ref="M297">_xlfn.IFS(J297&lt;=500,"Low",J297&gt;=1500,"Mid",J297&lt;=1500,"High",TRUE,"no")</f>
        <v>Mid</v>
      </c>
      <c r="N297" s="6">
        <f t="shared" si="8"/>
        <v>2</v>
      </c>
      <c r="O297" s="6" t="str">
        <f t="shared" si="9"/>
        <v>Diana</v>
      </c>
    </row>
    <row r="298" spans="1:15" x14ac:dyDescent="0.3">
      <c r="A298" s="10">
        <v>297</v>
      </c>
      <c r="B298" s="18">
        <v>45223</v>
      </c>
      <c r="C298" s="6" t="s">
        <v>316</v>
      </c>
      <c r="D298" s="6" t="s">
        <v>4</v>
      </c>
      <c r="E298" s="6" t="s">
        <v>14</v>
      </c>
      <c r="F298" s="6">
        <v>50</v>
      </c>
      <c r="G298" s="6" t="s">
        <v>17</v>
      </c>
      <c r="H298" s="6">
        <v>5</v>
      </c>
      <c r="I298" s="6">
        <v>469</v>
      </c>
      <c r="J298" s="11">
        <v>2345</v>
      </c>
      <c r="M298" s="6" t="str" cm="1">
        <f t="array" ref="M298">_xlfn.IFS(J298&lt;=500,"Low",J298&gt;=1500,"Mid",J298&lt;=1500,"High",TRUE,"no")</f>
        <v>Mid</v>
      </c>
      <c r="N298" s="6">
        <f t="shared" si="8"/>
        <v>10</v>
      </c>
      <c r="O298" s="6" t="str">
        <f t="shared" si="9"/>
        <v>Alice</v>
      </c>
    </row>
    <row r="299" spans="1:15" x14ac:dyDescent="0.3">
      <c r="A299" s="10">
        <v>298</v>
      </c>
      <c r="B299" s="18">
        <v>45224</v>
      </c>
      <c r="C299" s="6" t="s">
        <v>317</v>
      </c>
      <c r="D299" s="6" t="s">
        <v>4</v>
      </c>
      <c r="E299" s="6" t="s">
        <v>14</v>
      </c>
      <c r="F299" s="6">
        <v>21</v>
      </c>
      <c r="G299" s="6" t="s">
        <v>27</v>
      </c>
      <c r="H299" s="6">
        <v>4</v>
      </c>
      <c r="I299" s="6">
        <v>427</v>
      </c>
      <c r="J299" s="11">
        <v>1708</v>
      </c>
      <c r="M299" s="6" t="str" cm="1">
        <f t="array" ref="M299">_xlfn.IFS(J299&lt;=500,"Low",J299&gt;=1500,"Mid",J299&lt;=1500,"High",TRUE,"no")</f>
        <v>Mid</v>
      </c>
      <c r="N299" s="6">
        <f t="shared" si="8"/>
        <v>10</v>
      </c>
      <c r="O299" s="6" t="str">
        <f t="shared" si="9"/>
        <v>Alice</v>
      </c>
    </row>
    <row r="300" spans="1:15" x14ac:dyDescent="0.3">
      <c r="A300" s="10">
        <v>299</v>
      </c>
      <c r="B300" s="18">
        <v>45225</v>
      </c>
      <c r="C300" s="6" t="s">
        <v>318</v>
      </c>
      <c r="D300" s="6" t="s">
        <v>4</v>
      </c>
      <c r="E300" s="6" t="s">
        <v>19</v>
      </c>
      <c r="F300" s="6">
        <v>42</v>
      </c>
      <c r="G300" s="6" t="s">
        <v>17</v>
      </c>
      <c r="H300" s="6">
        <v>3</v>
      </c>
      <c r="I300" s="6">
        <v>37</v>
      </c>
      <c r="J300" s="11">
        <v>111</v>
      </c>
      <c r="M300" s="6" t="str" cm="1">
        <f t="array" ref="M300">_xlfn.IFS(J300&lt;=500,"Low",J300&gt;=1500,"Mid",J300&lt;=1500,"High",TRUE,"no")</f>
        <v>Low</v>
      </c>
      <c r="N300" s="6">
        <f t="shared" si="8"/>
        <v>10</v>
      </c>
      <c r="O300" s="6" t="str">
        <f t="shared" si="9"/>
        <v>Alice</v>
      </c>
    </row>
    <row r="301" spans="1:15" x14ac:dyDescent="0.3">
      <c r="A301" s="10">
        <v>300</v>
      </c>
      <c r="B301" s="18">
        <v>45226</v>
      </c>
      <c r="C301" s="6" t="s">
        <v>319</v>
      </c>
      <c r="D301" s="6" t="s">
        <v>3</v>
      </c>
      <c r="E301" s="6" t="s">
        <v>19</v>
      </c>
      <c r="F301" s="6">
        <v>21</v>
      </c>
      <c r="G301" s="6" t="s">
        <v>20</v>
      </c>
      <c r="H301" s="6">
        <v>1</v>
      </c>
      <c r="I301" s="6">
        <v>300</v>
      </c>
      <c r="J301" s="11">
        <v>300</v>
      </c>
      <c r="M301" s="6" t="str" cm="1">
        <f t="array" ref="M301">_xlfn.IFS(J301&lt;=500,"Low",J301&gt;=1500,"Mid",J301&lt;=1500,"High",TRUE,"no")</f>
        <v>Low</v>
      </c>
      <c r="N301" s="6">
        <f t="shared" si="8"/>
        <v>7</v>
      </c>
      <c r="O301" s="6" t="str">
        <f t="shared" si="9"/>
        <v>Bob</v>
      </c>
    </row>
    <row r="302" spans="1:15" x14ac:dyDescent="0.3">
      <c r="A302" s="10">
        <v>301</v>
      </c>
      <c r="B302" s="18">
        <v>45227</v>
      </c>
      <c r="C302" s="6" t="s">
        <v>320</v>
      </c>
      <c r="D302" s="6" t="s">
        <v>3</v>
      </c>
      <c r="E302" s="6" t="s">
        <v>14</v>
      </c>
      <c r="F302" s="6">
        <v>56</v>
      </c>
      <c r="G302" s="6" t="s">
        <v>27</v>
      </c>
      <c r="H302" s="6">
        <v>5</v>
      </c>
      <c r="I302" s="6">
        <v>499</v>
      </c>
      <c r="J302" s="11">
        <v>2495</v>
      </c>
      <c r="M302" s="6" t="str" cm="1">
        <f t="array" ref="M302">_xlfn.IFS(J302&lt;=500,"Low",J302&gt;=1500,"Mid",J302&lt;=1500,"High",TRUE,"no")</f>
        <v>Mid</v>
      </c>
      <c r="N302" s="6">
        <f t="shared" si="8"/>
        <v>7</v>
      </c>
      <c r="O302" s="6" t="str">
        <f t="shared" si="9"/>
        <v>Bob</v>
      </c>
    </row>
    <row r="303" spans="1:15" x14ac:dyDescent="0.3">
      <c r="A303" s="10">
        <v>302</v>
      </c>
      <c r="B303" s="18">
        <v>45228</v>
      </c>
      <c r="C303" s="6" t="s">
        <v>321</v>
      </c>
      <c r="D303" s="6" t="s">
        <v>1</v>
      </c>
      <c r="E303" s="6" t="s">
        <v>19</v>
      </c>
      <c r="F303" s="6">
        <v>35</v>
      </c>
      <c r="G303" s="6" t="s">
        <v>15</v>
      </c>
      <c r="H303" s="6">
        <v>3</v>
      </c>
      <c r="I303" s="6">
        <v>66</v>
      </c>
      <c r="J303" s="11">
        <v>198</v>
      </c>
      <c r="M303" s="6" t="str" cm="1">
        <f t="array" ref="M303">_xlfn.IFS(J303&lt;=500,"Low",J303&gt;=1500,"Mid",J303&lt;=1500,"High",TRUE,"no")</f>
        <v>Low</v>
      </c>
      <c r="N303" s="6">
        <f t="shared" si="8"/>
        <v>1</v>
      </c>
      <c r="O303" s="6" t="str">
        <f t="shared" si="9"/>
        <v>Charlie</v>
      </c>
    </row>
    <row r="304" spans="1:15" x14ac:dyDescent="0.3">
      <c r="A304" s="10">
        <v>303</v>
      </c>
      <c r="B304" s="18">
        <v>45229</v>
      </c>
      <c r="C304" s="6" t="s">
        <v>322</v>
      </c>
      <c r="D304" s="6" t="s">
        <v>3</v>
      </c>
      <c r="E304" s="6" t="s">
        <v>14</v>
      </c>
      <c r="F304" s="6">
        <v>58</v>
      </c>
      <c r="G304" s="6" t="s">
        <v>20</v>
      </c>
      <c r="H304" s="6">
        <v>5</v>
      </c>
      <c r="I304" s="6">
        <v>294</v>
      </c>
      <c r="J304" s="11">
        <v>1470</v>
      </c>
      <c r="M304" s="6" t="str" cm="1">
        <f t="array" ref="M304">_xlfn.IFS(J304&lt;=500,"Low",J304&gt;=1500,"Mid",J304&lt;=1500,"High",TRUE,"no")</f>
        <v>High</v>
      </c>
      <c r="N304" s="6">
        <f t="shared" si="8"/>
        <v>7</v>
      </c>
      <c r="O304" s="6" t="str">
        <f t="shared" si="9"/>
        <v>Bob</v>
      </c>
    </row>
    <row r="305" spans="1:15" x14ac:dyDescent="0.3">
      <c r="A305" s="10">
        <v>304</v>
      </c>
      <c r="B305" s="18">
        <v>45230</v>
      </c>
      <c r="C305" s="6" t="s">
        <v>323</v>
      </c>
      <c r="D305" s="6" t="s">
        <v>2</v>
      </c>
      <c r="E305" s="6" t="s">
        <v>19</v>
      </c>
      <c r="F305" s="6">
        <v>47</v>
      </c>
      <c r="G305" s="6" t="s">
        <v>15</v>
      </c>
      <c r="H305" s="6">
        <v>2</v>
      </c>
      <c r="I305" s="6">
        <v>122</v>
      </c>
      <c r="J305" s="11">
        <v>244</v>
      </c>
      <c r="M305" s="6" t="str" cm="1">
        <f t="array" ref="M305">_xlfn.IFS(J305&lt;=500,"Low",J305&gt;=1500,"Mid",J305&lt;=1500,"High",TRUE,"no")</f>
        <v>Low</v>
      </c>
      <c r="N305" s="6">
        <f t="shared" si="8"/>
        <v>2</v>
      </c>
      <c r="O305" s="6" t="str">
        <f t="shared" si="9"/>
        <v>Diana</v>
      </c>
    </row>
    <row r="306" spans="1:15" x14ac:dyDescent="0.3">
      <c r="A306" s="10">
        <v>305</v>
      </c>
      <c r="B306" s="18">
        <v>45231</v>
      </c>
      <c r="C306" s="6" t="s">
        <v>324</v>
      </c>
      <c r="D306" s="6" t="s">
        <v>1</v>
      </c>
      <c r="E306" s="6" t="s">
        <v>19</v>
      </c>
      <c r="F306" s="6">
        <v>38</v>
      </c>
      <c r="G306" s="6" t="s">
        <v>20</v>
      </c>
      <c r="H306" s="6">
        <v>4</v>
      </c>
      <c r="I306" s="6">
        <v>296</v>
      </c>
      <c r="J306" s="11">
        <v>1184</v>
      </c>
      <c r="M306" s="6" t="str" cm="1">
        <f t="array" ref="M306">_xlfn.IFS(J306&lt;=500,"Low",J306&gt;=1500,"Mid",J306&lt;=1500,"High",TRUE,"no")</f>
        <v>High</v>
      </c>
      <c r="N306" s="6">
        <f t="shared" si="8"/>
        <v>1</v>
      </c>
      <c r="O306" s="6" t="str">
        <f t="shared" si="9"/>
        <v>Charlie</v>
      </c>
    </row>
    <row r="307" spans="1:15" x14ac:dyDescent="0.3">
      <c r="A307" s="10">
        <v>306</v>
      </c>
      <c r="B307" s="18">
        <v>45232</v>
      </c>
      <c r="C307" s="6" t="s">
        <v>325</v>
      </c>
      <c r="D307" s="6" t="s">
        <v>1</v>
      </c>
      <c r="E307" s="6" t="s">
        <v>14</v>
      </c>
      <c r="F307" s="6">
        <v>57</v>
      </c>
      <c r="G307" s="6" t="s">
        <v>23</v>
      </c>
      <c r="H307" s="6">
        <v>2</v>
      </c>
      <c r="I307" s="6">
        <v>88</v>
      </c>
      <c r="J307" s="11">
        <v>176</v>
      </c>
      <c r="M307" s="6" t="str" cm="1">
        <f t="array" ref="M307">_xlfn.IFS(J307&lt;=500,"Low",J307&gt;=1500,"Mid",J307&lt;=1500,"High",TRUE,"no")</f>
        <v>Low</v>
      </c>
      <c r="N307" s="6">
        <f t="shared" si="8"/>
        <v>1</v>
      </c>
      <c r="O307" s="6" t="str">
        <f t="shared" si="9"/>
        <v>Charlie</v>
      </c>
    </row>
    <row r="308" spans="1:15" x14ac:dyDescent="0.3">
      <c r="A308" s="10">
        <v>307</v>
      </c>
      <c r="B308" s="18">
        <v>45233</v>
      </c>
      <c r="C308" s="6" t="s">
        <v>326</v>
      </c>
      <c r="D308" s="6" t="s">
        <v>2</v>
      </c>
      <c r="E308" s="6" t="s">
        <v>14</v>
      </c>
      <c r="F308" s="6">
        <v>41</v>
      </c>
      <c r="G308" s="6" t="s">
        <v>27</v>
      </c>
      <c r="H308" s="6">
        <v>3</v>
      </c>
      <c r="I308" s="6">
        <v>44</v>
      </c>
      <c r="J308" s="11">
        <v>132</v>
      </c>
      <c r="M308" s="6" t="str" cm="1">
        <f t="array" ref="M308">_xlfn.IFS(J308&lt;=500,"Low",J308&gt;=1500,"Mid",J308&lt;=1500,"High",TRUE,"no")</f>
        <v>Low</v>
      </c>
      <c r="N308" s="6">
        <f t="shared" si="8"/>
        <v>2</v>
      </c>
      <c r="O308" s="6" t="str">
        <f t="shared" si="9"/>
        <v>Diana</v>
      </c>
    </row>
    <row r="309" spans="1:15" x14ac:dyDescent="0.3">
      <c r="A309" s="10">
        <v>308</v>
      </c>
      <c r="B309" s="18">
        <v>45234</v>
      </c>
      <c r="C309" s="6" t="s">
        <v>327</v>
      </c>
      <c r="D309" s="6" t="s">
        <v>2</v>
      </c>
      <c r="E309" s="6" t="s">
        <v>14</v>
      </c>
      <c r="F309" s="6">
        <v>51</v>
      </c>
      <c r="G309" s="6" t="s">
        <v>17</v>
      </c>
      <c r="H309" s="6">
        <v>5</v>
      </c>
      <c r="I309" s="6">
        <v>213</v>
      </c>
      <c r="J309" s="11">
        <v>1065</v>
      </c>
      <c r="M309" s="6" t="str" cm="1">
        <f t="array" ref="M309">_xlfn.IFS(J309&lt;=500,"Low",J309&gt;=1500,"Mid",J309&lt;=1500,"High",TRUE,"no")</f>
        <v>High</v>
      </c>
      <c r="N309" s="6">
        <f t="shared" si="8"/>
        <v>2</v>
      </c>
      <c r="O309" s="6" t="str">
        <f t="shared" si="9"/>
        <v>Diana</v>
      </c>
    </row>
    <row r="310" spans="1:15" x14ac:dyDescent="0.3">
      <c r="A310" s="10">
        <v>309</v>
      </c>
      <c r="B310" s="18">
        <v>45235</v>
      </c>
      <c r="C310" s="6" t="s">
        <v>328</v>
      </c>
      <c r="D310" s="6" t="s">
        <v>2</v>
      </c>
      <c r="E310" s="6" t="s">
        <v>19</v>
      </c>
      <c r="F310" s="6">
        <v>38</v>
      </c>
      <c r="G310" s="6" t="s">
        <v>20</v>
      </c>
      <c r="H310" s="6">
        <v>5</v>
      </c>
      <c r="I310" s="6">
        <v>98</v>
      </c>
      <c r="J310" s="11">
        <v>490</v>
      </c>
      <c r="M310" s="6" t="str" cm="1">
        <f t="array" ref="M310">_xlfn.IFS(J310&lt;=500,"Low",J310&gt;=1500,"Mid",J310&lt;=1500,"High",TRUE,"no")</f>
        <v>Low</v>
      </c>
      <c r="N310" s="6">
        <f t="shared" si="8"/>
        <v>2</v>
      </c>
      <c r="O310" s="6" t="str">
        <f t="shared" si="9"/>
        <v>Diana</v>
      </c>
    </row>
    <row r="311" spans="1:15" x14ac:dyDescent="0.3">
      <c r="A311" s="10">
        <v>310</v>
      </c>
      <c r="B311" s="18">
        <v>45236</v>
      </c>
      <c r="C311" s="6" t="s">
        <v>329</v>
      </c>
      <c r="D311" s="6" t="s">
        <v>1</v>
      </c>
      <c r="E311" s="6" t="s">
        <v>14</v>
      </c>
      <c r="F311" s="6">
        <v>39</v>
      </c>
      <c r="G311" s="6" t="s">
        <v>17</v>
      </c>
      <c r="H311" s="6">
        <v>5</v>
      </c>
      <c r="I311" s="6">
        <v>415</v>
      </c>
      <c r="J311" s="11">
        <v>2075</v>
      </c>
      <c r="M311" s="6" t="str" cm="1">
        <f t="array" ref="M311">_xlfn.IFS(J311&lt;=500,"Low",J311&gt;=1500,"Mid",J311&lt;=1500,"High",TRUE,"no")</f>
        <v>Mid</v>
      </c>
      <c r="N311" s="6">
        <f t="shared" si="8"/>
        <v>1</v>
      </c>
      <c r="O311" s="6" t="str">
        <f t="shared" si="9"/>
        <v>Charlie</v>
      </c>
    </row>
    <row r="312" spans="1:15" x14ac:dyDescent="0.3">
      <c r="A312" s="10">
        <v>311</v>
      </c>
      <c r="B312" s="18">
        <v>45237</v>
      </c>
      <c r="C312" s="6" t="s">
        <v>330</v>
      </c>
      <c r="D312" s="6" t="s">
        <v>1</v>
      </c>
      <c r="E312" s="6" t="s">
        <v>14</v>
      </c>
      <c r="F312" s="6">
        <v>59</v>
      </c>
      <c r="G312" s="6" t="s">
        <v>27</v>
      </c>
      <c r="H312" s="6">
        <v>2</v>
      </c>
      <c r="I312" s="6">
        <v>500</v>
      </c>
      <c r="J312" s="11">
        <v>1000</v>
      </c>
      <c r="M312" s="6" t="str" cm="1">
        <f t="array" ref="M312">_xlfn.IFS(J312&lt;=500,"Low",J312&gt;=1500,"Mid",J312&lt;=1500,"High",TRUE,"no")</f>
        <v>High</v>
      </c>
      <c r="N312" s="6">
        <f t="shared" si="8"/>
        <v>1</v>
      </c>
      <c r="O312" s="6" t="str">
        <f t="shared" si="9"/>
        <v>Charlie</v>
      </c>
    </row>
    <row r="313" spans="1:15" x14ac:dyDescent="0.3">
      <c r="A313" s="10">
        <v>312</v>
      </c>
      <c r="B313" s="18">
        <v>45238</v>
      </c>
      <c r="C313" s="6" t="s">
        <v>331</v>
      </c>
      <c r="D313" s="6" t="s">
        <v>1</v>
      </c>
      <c r="E313" s="6" t="s">
        <v>14</v>
      </c>
      <c r="F313" s="6">
        <v>32</v>
      </c>
      <c r="G313" s="6" t="s">
        <v>17</v>
      </c>
      <c r="H313" s="6">
        <v>4</v>
      </c>
      <c r="I313" s="6">
        <v>38</v>
      </c>
      <c r="J313" s="11">
        <v>152</v>
      </c>
      <c r="M313" s="6" t="str" cm="1">
        <f t="array" ref="M313">_xlfn.IFS(J313&lt;=500,"Low",J313&gt;=1500,"Mid",J313&lt;=1500,"High",TRUE,"no")</f>
        <v>Low</v>
      </c>
      <c r="N313" s="6">
        <f t="shared" si="8"/>
        <v>1</v>
      </c>
      <c r="O313" s="6" t="str">
        <f t="shared" si="9"/>
        <v>Charlie</v>
      </c>
    </row>
    <row r="314" spans="1:15" x14ac:dyDescent="0.3">
      <c r="A314" s="10">
        <v>313</v>
      </c>
      <c r="B314" s="18">
        <v>45239</v>
      </c>
      <c r="C314" s="6" t="s">
        <v>332</v>
      </c>
      <c r="D314" s="6" t="s">
        <v>2</v>
      </c>
      <c r="E314" s="6" t="s">
        <v>14</v>
      </c>
      <c r="F314" s="6">
        <v>39</v>
      </c>
      <c r="G314" s="6" t="s">
        <v>17</v>
      </c>
      <c r="H314" s="6">
        <v>4</v>
      </c>
      <c r="I314" s="6">
        <v>221</v>
      </c>
      <c r="J314" s="11">
        <v>884</v>
      </c>
      <c r="M314" s="6" t="str" cm="1">
        <f t="array" ref="M314">_xlfn.IFS(J314&lt;=500,"Low",J314&gt;=1500,"Mid",J314&lt;=1500,"High",TRUE,"no")</f>
        <v>High</v>
      </c>
      <c r="N314" s="6">
        <f t="shared" si="8"/>
        <v>2</v>
      </c>
      <c r="O314" s="6" t="str">
        <f t="shared" si="9"/>
        <v>Diana</v>
      </c>
    </row>
    <row r="315" spans="1:15" x14ac:dyDescent="0.3">
      <c r="A315" s="10">
        <v>314</v>
      </c>
      <c r="B315" s="18">
        <v>45240</v>
      </c>
      <c r="C315" s="6" t="s">
        <v>333</v>
      </c>
      <c r="D315" s="6" t="s">
        <v>2</v>
      </c>
      <c r="E315" s="6" t="s">
        <v>19</v>
      </c>
      <c r="F315" s="6">
        <v>43</v>
      </c>
      <c r="G315" s="6" t="s">
        <v>20</v>
      </c>
      <c r="H315" s="6">
        <v>3</v>
      </c>
      <c r="I315" s="6">
        <v>121</v>
      </c>
      <c r="J315" s="11">
        <v>363</v>
      </c>
      <c r="M315" s="6" t="str" cm="1">
        <f t="array" ref="M315">_xlfn.IFS(J315&lt;=500,"Low",J315&gt;=1500,"Mid",J315&lt;=1500,"High",TRUE,"no")</f>
        <v>Low</v>
      </c>
      <c r="N315" s="6">
        <f t="shared" si="8"/>
        <v>2</v>
      </c>
      <c r="O315" s="6" t="str">
        <f t="shared" si="9"/>
        <v>Diana</v>
      </c>
    </row>
    <row r="316" spans="1:15" x14ac:dyDescent="0.3">
      <c r="A316" s="10">
        <v>315</v>
      </c>
      <c r="B316" s="18">
        <v>45241</v>
      </c>
      <c r="C316" s="6" t="s">
        <v>334</v>
      </c>
      <c r="D316" s="6" t="s">
        <v>4</v>
      </c>
      <c r="E316" s="6" t="s">
        <v>14</v>
      </c>
      <c r="F316" s="6">
        <v>43</v>
      </c>
      <c r="G316" s="6" t="s">
        <v>23</v>
      </c>
      <c r="H316" s="6">
        <v>4</v>
      </c>
      <c r="I316" s="6">
        <v>86</v>
      </c>
      <c r="J316" s="11">
        <v>344</v>
      </c>
      <c r="M316" s="6" t="str" cm="1">
        <f t="array" ref="M316">_xlfn.IFS(J316&lt;=500,"Low",J316&gt;=1500,"Mid",J316&lt;=1500,"High",TRUE,"no")</f>
        <v>Low</v>
      </c>
      <c r="N316" s="6">
        <f t="shared" si="8"/>
        <v>10</v>
      </c>
      <c r="O316" s="6" t="str">
        <f t="shared" si="9"/>
        <v>Alice</v>
      </c>
    </row>
    <row r="317" spans="1:15" x14ac:dyDescent="0.3">
      <c r="A317" s="10">
        <v>316</v>
      </c>
      <c r="B317" s="18">
        <v>45242</v>
      </c>
      <c r="C317" s="6" t="s">
        <v>335</v>
      </c>
      <c r="D317" s="6" t="s">
        <v>3</v>
      </c>
      <c r="E317" s="6" t="s">
        <v>14</v>
      </c>
      <c r="F317" s="6">
        <v>47</v>
      </c>
      <c r="G317" s="6" t="s">
        <v>20</v>
      </c>
      <c r="H317" s="6">
        <v>2</v>
      </c>
      <c r="I317" s="6">
        <v>200</v>
      </c>
      <c r="J317" s="11">
        <v>400</v>
      </c>
      <c r="M317" s="6" t="str" cm="1">
        <f t="array" ref="M317">_xlfn.IFS(J317&lt;=500,"Low",J317&gt;=1500,"Mid",J317&lt;=1500,"High",TRUE,"no")</f>
        <v>Low</v>
      </c>
      <c r="N317" s="6">
        <f t="shared" si="8"/>
        <v>7</v>
      </c>
      <c r="O317" s="6" t="str">
        <f t="shared" si="9"/>
        <v>Bob</v>
      </c>
    </row>
    <row r="318" spans="1:15" x14ac:dyDescent="0.3">
      <c r="A318" s="10">
        <v>317</v>
      </c>
      <c r="B318" s="18">
        <v>45243</v>
      </c>
      <c r="C318" s="6" t="s">
        <v>336</v>
      </c>
      <c r="D318" s="6" t="s">
        <v>4</v>
      </c>
      <c r="E318" s="6" t="s">
        <v>14</v>
      </c>
      <c r="F318" s="6">
        <v>39</v>
      </c>
      <c r="G318" s="6" t="s">
        <v>20</v>
      </c>
      <c r="H318" s="6">
        <v>3</v>
      </c>
      <c r="I318" s="6">
        <v>247</v>
      </c>
      <c r="J318" s="11">
        <v>741</v>
      </c>
      <c r="M318" s="6" t="str" cm="1">
        <f t="array" ref="M318">_xlfn.IFS(J318&lt;=500,"Low",J318&gt;=1500,"Mid",J318&lt;=1500,"High",TRUE,"no")</f>
        <v>High</v>
      </c>
      <c r="N318" s="6">
        <f t="shared" si="8"/>
        <v>10</v>
      </c>
      <c r="O318" s="6" t="str">
        <f t="shared" si="9"/>
        <v>Alice</v>
      </c>
    </row>
    <row r="319" spans="1:15" x14ac:dyDescent="0.3">
      <c r="A319" s="10">
        <v>318</v>
      </c>
      <c r="B319" s="18">
        <v>45244</v>
      </c>
      <c r="C319" s="6" t="s">
        <v>337</v>
      </c>
      <c r="D319" s="6" t="s">
        <v>2</v>
      </c>
      <c r="E319" s="6" t="s">
        <v>14</v>
      </c>
      <c r="F319" s="6">
        <v>27</v>
      </c>
      <c r="G319" s="6" t="s">
        <v>23</v>
      </c>
      <c r="H319" s="6">
        <v>2</v>
      </c>
      <c r="I319" s="6">
        <v>133</v>
      </c>
      <c r="J319" s="11">
        <v>266</v>
      </c>
      <c r="M319" s="6" t="str" cm="1">
        <f t="array" ref="M319">_xlfn.IFS(J319&lt;=500,"Low",J319&gt;=1500,"Mid",J319&lt;=1500,"High",TRUE,"no")</f>
        <v>Low</v>
      </c>
      <c r="N319" s="6">
        <f t="shared" si="8"/>
        <v>2</v>
      </c>
      <c r="O319" s="6" t="str">
        <f t="shared" si="9"/>
        <v>Diana</v>
      </c>
    </row>
    <row r="320" spans="1:15" x14ac:dyDescent="0.3">
      <c r="A320" s="10">
        <v>319</v>
      </c>
      <c r="B320" s="18">
        <v>45245</v>
      </c>
      <c r="C320" s="6" t="s">
        <v>338</v>
      </c>
      <c r="D320" s="6" t="s">
        <v>1</v>
      </c>
      <c r="E320" s="6" t="s">
        <v>14</v>
      </c>
      <c r="F320" s="6">
        <v>25</v>
      </c>
      <c r="G320" s="6" t="s">
        <v>20</v>
      </c>
      <c r="H320" s="6">
        <v>5</v>
      </c>
      <c r="I320" s="6">
        <v>401</v>
      </c>
      <c r="J320" s="11">
        <v>2005</v>
      </c>
      <c r="M320" s="6" t="str" cm="1">
        <f t="array" ref="M320">_xlfn.IFS(J320&lt;=500,"Low",J320&gt;=1500,"Mid",J320&lt;=1500,"High",TRUE,"no")</f>
        <v>Mid</v>
      </c>
      <c r="N320" s="6">
        <f t="shared" si="8"/>
        <v>1</v>
      </c>
      <c r="O320" s="6" t="str">
        <f t="shared" si="9"/>
        <v>Charlie</v>
      </c>
    </row>
    <row r="321" spans="1:15" x14ac:dyDescent="0.3">
      <c r="A321" s="10">
        <v>320</v>
      </c>
      <c r="B321" s="18">
        <v>45246</v>
      </c>
      <c r="C321" s="6" t="s">
        <v>339</v>
      </c>
      <c r="D321" s="6" t="s">
        <v>2</v>
      </c>
      <c r="E321" s="6" t="s">
        <v>19</v>
      </c>
      <c r="F321" s="6">
        <v>26</v>
      </c>
      <c r="G321" s="6" t="s">
        <v>23</v>
      </c>
      <c r="H321" s="6">
        <v>4</v>
      </c>
      <c r="I321" s="6">
        <v>101</v>
      </c>
      <c r="J321" s="11">
        <v>404</v>
      </c>
      <c r="M321" s="6" t="str" cm="1">
        <f t="array" ref="M321">_xlfn.IFS(J321&lt;=500,"Low",J321&gt;=1500,"Mid",J321&lt;=1500,"High",TRUE,"no")</f>
        <v>Low</v>
      </c>
      <c r="N321" s="6">
        <f t="shared" si="8"/>
        <v>2</v>
      </c>
      <c r="O321" s="6" t="str">
        <f t="shared" si="9"/>
        <v>Diana</v>
      </c>
    </row>
    <row r="322" spans="1:15" x14ac:dyDescent="0.3">
      <c r="A322" s="10">
        <v>321</v>
      </c>
      <c r="B322" s="18">
        <v>45247</v>
      </c>
      <c r="C322" s="6" t="s">
        <v>340</v>
      </c>
      <c r="D322" s="6" t="s">
        <v>3</v>
      </c>
      <c r="E322" s="6" t="s">
        <v>14</v>
      </c>
      <c r="F322" s="6">
        <v>46</v>
      </c>
      <c r="G322" s="6" t="s">
        <v>23</v>
      </c>
      <c r="H322" s="6">
        <v>3</v>
      </c>
      <c r="I322" s="6">
        <v>176</v>
      </c>
      <c r="J322" s="11">
        <v>528</v>
      </c>
      <c r="M322" s="6" t="str" cm="1">
        <f t="array" ref="M322">_xlfn.IFS(J322&lt;=500,"Low",J322&gt;=1500,"Mid",J322&lt;=1500,"High",TRUE,"no")</f>
        <v>High</v>
      </c>
      <c r="N322" s="6">
        <f t="shared" si="8"/>
        <v>7</v>
      </c>
      <c r="O322" s="6" t="str">
        <f t="shared" si="9"/>
        <v>Bob</v>
      </c>
    </row>
    <row r="323" spans="1:15" x14ac:dyDescent="0.3">
      <c r="A323" s="10">
        <v>322</v>
      </c>
      <c r="B323" s="18">
        <v>45248</v>
      </c>
      <c r="C323" s="6" t="s">
        <v>341</v>
      </c>
      <c r="D323" s="6" t="s">
        <v>4</v>
      </c>
      <c r="E323" s="6" t="s">
        <v>19</v>
      </c>
      <c r="F323" s="6">
        <v>34</v>
      </c>
      <c r="G323" s="6" t="s">
        <v>27</v>
      </c>
      <c r="H323" s="6">
        <v>3</v>
      </c>
      <c r="I323" s="6">
        <v>471</v>
      </c>
      <c r="J323" s="11">
        <v>1413</v>
      </c>
      <c r="M323" s="6" t="str" cm="1">
        <f t="array" ref="M323">_xlfn.IFS(J323&lt;=500,"Low",J323&gt;=1500,"Mid",J323&lt;=1500,"High",TRUE,"no")</f>
        <v>High</v>
      </c>
      <c r="N323" s="6">
        <f t="shared" ref="N323:N386" si="10">MATCH(D323,$D$2:$D$1001,0)</f>
        <v>10</v>
      </c>
      <c r="O323" s="6" t="str">
        <f t="shared" ref="O323:O386" si="11">INDEX(D323:D1322,MATCH($D$2,$D$2:$D$1001,0))</f>
        <v>Alice</v>
      </c>
    </row>
    <row r="324" spans="1:15" x14ac:dyDescent="0.3">
      <c r="A324" s="10">
        <v>323</v>
      </c>
      <c r="B324" s="18">
        <v>45249</v>
      </c>
      <c r="C324" s="6" t="s">
        <v>342</v>
      </c>
      <c r="D324" s="6" t="s">
        <v>4</v>
      </c>
      <c r="E324" s="6" t="s">
        <v>14</v>
      </c>
      <c r="F324" s="6">
        <v>30</v>
      </c>
      <c r="G324" s="6" t="s">
        <v>27</v>
      </c>
      <c r="H324" s="6">
        <v>2</v>
      </c>
      <c r="I324" s="6">
        <v>258</v>
      </c>
      <c r="J324" s="11">
        <v>516</v>
      </c>
      <c r="M324" s="6" t="str" cm="1">
        <f t="array" ref="M324">_xlfn.IFS(J324&lt;=500,"Low",J324&gt;=1500,"Mid",J324&lt;=1500,"High",TRUE,"no")</f>
        <v>High</v>
      </c>
      <c r="N324" s="6">
        <f t="shared" si="10"/>
        <v>10</v>
      </c>
      <c r="O324" s="6" t="str">
        <f t="shared" si="11"/>
        <v>Alice</v>
      </c>
    </row>
    <row r="325" spans="1:15" x14ac:dyDescent="0.3">
      <c r="A325" s="10">
        <v>324</v>
      </c>
      <c r="B325" s="18">
        <v>45250</v>
      </c>
      <c r="C325" s="6" t="s">
        <v>343</v>
      </c>
      <c r="D325" s="6" t="s">
        <v>1</v>
      </c>
      <c r="E325" s="6" t="s">
        <v>19</v>
      </c>
      <c r="F325" s="6">
        <v>60</v>
      </c>
      <c r="G325" s="6" t="s">
        <v>23</v>
      </c>
      <c r="H325" s="6">
        <v>4</v>
      </c>
      <c r="I325" s="6">
        <v>227</v>
      </c>
      <c r="J325" s="11">
        <v>908</v>
      </c>
      <c r="M325" s="6" t="str" cm="1">
        <f t="array" ref="M325">_xlfn.IFS(J325&lt;=500,"Low",J325&gt;=1500,"Mid",J325&lt;=1500,"High",TRUE,"no")</f>
        <v>High</v>
      </c>
      <c r="N325" s="6">
        <f t="shared" si="10"/>
        <v>1</v>
      </c>
      <c r="O325" s="6" t="str">
        <f t="shared" si="11"/>
        <v>Charlie</v>
      </c>
    </row>
    <row r="326" spans="1:15" x14ac:dyDescent="0.3">
      <c r="A326" s="10">
        <v>325</v>
      </c>
      <c r="B326" s="18">
        <v>45251</v>
      </c>
      <c r="C326" s="6" t="s">
        <v>344</v>
      </c>
      <c r="D326" s="6" t="s">
        <v>4</v>
      </c>
      <c r="E326" s="6" t="s">
        <v>19</v>
      </c>
      <c r="F326" s="6">
        <v>47</v>
      </c>
      <c r="G326" s="6" t="s">
        <v>17</v>
      </c>
      <c r="H326" s="6">
        <v>3</v>
      </c>
      <c r="I326" s="6">
        <v>379</v>
      </c>
      <c r="J326" s="11">
        <v>1137</v>
      </c>
      <c r="M326" s="6" t="str" cm="1">
        <f t="array" ref="M326">_xlfn.IFS(J326&lt;=500,"Low",J326&gt;=1500,"Mid",J326&lt;=1500,"High",TRUE,"no")</f>
        <v>High</v>
      </c>
      <c r="N326" s="6">
        <f t="shared" si="10"/>
        <v>10</v>
      </c>
      <c r="O326" s="6" t="str">
        <f t="shared" si="11"/>
        <v>Alice</v>
      </c>
    </row>
    <row r="327" spans="1:15" x14ac:dyDescent="0.3">
      <c r="A327" s="10">
        <v>326</v>
      </c>
      <c r="B327" s="18">
        <v>45252</v>
      </c>
      <c r="C327" s="6" t="s">
        <v>345</v>
      </c>
      <c r="D327" s="6" t="s">
        <v>4</v>
      </c>
      <c r="E327" s="6" t="s">
        <v>14</v>
      </c>
      <c r="F327" s="6">
        <v>41</v>
      </c>
      <c r="G327" s="6" t="s">
        <v>17</v>
      </c>
      <c r="H327" s="6">
        <v>2</v>
      </c>
      <c r="I327" s="6">
        <v>470</v>
      </c>
      <c r="J327" s="11">
        <v>940</v>
      </c>
      <c r="M327" s="6" t="str" cm="1">
        <f t="array" ref="M327">_xlfn.IFS(J327&lt;=500,"Low",J327&gt;=1500,"Mid",J327&lt;=1500,"High",TRUE,"no")</f>
        <v>High</v>
      </c>
      <c r="N327" s="6">
        <f t="shared" si="10"/>
        <v>10</v>
      </c>
      <c r="O327" s="6" t="str">
        <f t="shared" si="11"/>
        <v>Alice</v>
      </c>
    </row>
    <row r="328" spans="1:15" x14ac:dyDescent="0.3">
      <c r="A328" s="10">
        <v>327</v>
      </c>
      <c r="B328" s="18">
        <v>45253</v>
      </c>
      <c r="C328" s="6" t="s">
        <v>346</v>
      </c>
      <c r="D328" s="6" t="s">
        <v>2</v>
      </c>
      <c r="E328" s="6" t="s">
        <v>14</v>
      </c>
      <c r="F328" s="6">
        <v>21</v>
      </c>
      <c r="G328" s="6" t="s">
        <v>23</v>
      </c>
      <c r="H328" s="6">
        <v>1</v>
      </c>
      <c r="I328" s="6">
        <v>26</v>
      </c>
      <c r="J328" s="11">
        <v>26</v>
      </c>
      <c r="M328" s="6" t="str" cm="1">
        <f t="array" ref="M328">_xlfn.IFS(J328&lt;=500,"Low",J328&gt;=1500,"Mid",J328&lt;=1500,"High",TRUE,"no")</f>
        <v>Low</v>
      </c>
      <c r="N328" s="6">
        <f t="shared" si="10"/>
        <v>2</v>
      </c>
      <c r="O328" s="6" t="str">
        <f t="shared" si="11"/>
        <v>Diana</v>
      </c>
    </row>
    <row r="329" spans="1:15" x14ac:dyDescent="0.3">
      <c r="A329" s="10">
        <v>328</v>
      </c>
      <c r="B329" s="18">
        <v>45254</v>
      </c>
      <c r="C329" s="6" t="s">
        <v>347</v>
      </c>
      <c r="D329" s="6" t="s">
        <v>4</v>
      </c>
      <c r="E329" s="6" t="s">
        <v>19</v>
      </c>
      <c r="F329" s="6">
        <v>37</v>
      </c>
      <c r="G329" s="6" t="s">
        <v>27</v>
      </c>
      <c r="H329" s="6">
        <v>2</v>
      </c>
      <c r="I329" s="6">
        <v>133</v>
      </c>
      <c r="J329" s="11">
        <v>266</v>
      </c>
      <c r="M329" s="6" t="str" cm="1">
        <f t="array" ref="M329">_xlfn.IFS(J329&lt;=500,"Low",J329&gt;=1500,"Mid",J329&lt;=1500,"High",TRUE,"no")</f>
        <v>Low</v>
      </c>
      <c r="N329" s="6">
        <f t="shared" si="10"/>
        <v>10</v>
      </c>
      <c r="O329" s="6" t="str">
        <f t="shared" si="11"/>
        <v>Alice</v>
      </c>
    </row>
    <row r="330" spans="1:15" x14ac:dyDescent="0.3">
      <c r="A330" s="10">
        <v>329</v>
      </c>
      <c r="B330" s="18">
        <v>45255</v>
      </c>
      <c r="C330" s="6" t="s">
        <v>348</v>
      </c>
      <c r="D330" s="6" t="s">
        <v>4</v>
      </c>
      <c r="E330" s="6" t="s">
        <v>19</v>
      </c>
      <c r="F330" s="6">
        <v>37</v>
      </c>
      <c r="G330" s="6" t="s">
        <v>15</v>
      </c>
      <c r="H330" s="6">
        <v>3</v>
      </c>
      <c r="I330" s="6">
        <v>375</v>
      </c>
      <c r="J330" s="11">
        <v>1125</v>
      </c>
      <c r="M330" s="6" t="str" cm="1">
        <f t="array" ref="M330">_xlfn.IFS(J330&lt;=500,"Low",J330&gt;=1500,"Mid",J330&lt;=1500,"High",TRUE,"no")</f>
        <v>High</v>
      </c>
      <c r="N330" s="6">
        <f t="shared" si="10"/>
        <v>10</v>
      </c>
      <c r="O330" s="6" t="str">
        <f t="shared" si="11"/>
        <v>Alice</v>
      </c>
    </row>
    <row r="331" spans="1:15" x14ac:dyDescent="0.3">
      <c r="A331" s="10">
        <v>330</v>
      </c>
      <c r="B331" s="18">
        <v>45256</v>
      </c>
      <c r="C331" s="6" t="s">
        <v>349</v>
      </c>
      <c r="D331" s="6" t="s">
        <v>4</v>
      </c>
      <c r="E331" s="6" t="s">
        <v>14</v>
      </c>
      <c r="F331" s="6">
        <v>33</v>
      </c>
      <c r="G331" s="6" t="s">
        <v>17</v>
      </c>
      <c r="H331" s="6">
        <v>2</v>
      </c>
      <c r="I331" s="6">
        <v>319</v>
      </c>
      <c r="J331" s="11">
        <v>638</v>
      </c>
      <c r="M331" s="6" t="str" cm="1">
        <f t="array" ref="M331">_xlfn.IFS(J331&lt;=500,"Low",J331&gt;=1500,"Mid",J331&lt;=1500,"High",TRUE,"no")</f>
        <v>High</v>
      </c>
      <c r="N331" s="6">
        <f t="shared" si="10"/>
        <v>10</v>
      </c>
      <c r="O331" s="6" t="str">
        <f t="shared" si="11"/>
        <v>Alice</v>
      </c>
    </row>
    <row r="332" spans="1:15" x14ac:dyDescent="0.3">
      <c r="A332" s="10">
        <v>331</v>
      </c>
      <c r="B332" s="18">
        <v>45257</v>
      </c>
      <c r="C332" s="6" t="s">
        <v>350</v>
      </c>
      <c r="D332" s="6" t="s">
        <v>1</v>
      </c>
      <c r="E332" s="6" t="s">
        <v>19</v>
      </c>
      <c r="F332" s="6">
        <v>21</v>
      </c>
      <c r="G332" s="6" t="s">
        <v>15</v>
      </c>
      <c r="H332" s="6">
        <v>5</v>
      </c>
      <c r="I332" s="6">
        <v>241</v>
      </c>
      <c r="J332" s="11">
        <v>1205</v>
      </c>
      <c r="M332" s="6" t="str" cm="1">
        <f t="array" ref="M332">_xlfn.IFS(J332&lt;=500,"Low",J332&gt;=1500,"Mid",J332&lt;=1500,"High",TRUE,"no")</f>
        <v>High</v>
      </c>
      <c r="N332" s="6">
        <f t="shared" si="10"/>
        <v>1</v>
      </c>
      <c r="O332" s="6" t="str">
        <f t="shared" si="11"/>
        <v>Charlie</v>
      </c>
    </row>
    <row r="333" spans="1:15" x14ac:dyDescent="0.3">
      <c r="A333" s="10">
        <v>332</v>
      </c>
      <c r="B333" s="18">
        <v>45258</v>
      </c>
      <c r="C333" s="6" t="s">
        <v>351</v>
      </c>
      <c r="D333" s="6" t="s">
        <v>1</v>
      </c>
      <c r="E333" s="6" t="s">
        <v>14</v>
      </c>
      <c r="F333" s="6">
        <v>44</v>
      </c>
      <c r="G333" s="6" t="s">
        <v>17</v>
      </c>
      <c r="H333" s="6">
        <v>4</v>
      </c>
      <c r="I333" s="6">
        <v>30</v>
      </c>
      <c r="J333" s="11">
        <v>120</v>
      </c>
      <c r="M333" s="6" t="str" cm="1">
        <f t="array" ref="M333">_xlfn.IFS(J333&lt;=500,"Low",J333&gt;=1500,"Mid",J333&lt;=1500,"High",TRUE,"no")</f>
        <v>Low</v>
      </c>
      <c r="N333" s="6">
        <f t="shared" si="10"/>
        <v>1</v>
      </c>
      <c r="O333" s="6" t="str">
        <f t="shared" si="11"/>
        <v>Charlie</v>
      </c>
    </row>
    <row r="334" spans="1:15" x14ac:dyDescent="0.3">
      <c r="A334" s="10">
        <v>333</v>
      </c>
      <c r="B334" s="18">
        <v>45259</v>
      </c>
      <c r="C334" s="6" t="s">
        <v>352</v>
      </c>
      <c r="D334" s="6" t="s">
        <v>2</v>
      </c>
      <c r="E334" s="6" t="s">
        <v>14</v>
      </c>
      <c r="F334" s="6">
        <v>39</v>
      </c>
      <c r="G334" s="6" t="s">
        <v>23</v>
      </c>
      <c r="H334" s="6">
        <v>3</v>
      </c>
      <c r="I334" s="6">
        <v>50</v>
      </c>
      <c r="J334" s="11">
        <v>150</v>
      </c>
      <c r="M334" s="6" t="str" cm="1">
        <f t="array" ref="M334">_xlfn.IFS(J334&lt;=500,"Low",J334&gt;=1500,"Mid",J334&lt;=1500,"High",TRUE,"no")</f>
        <v>Low</v>
      </c>
      <c r="N334" s="6">
        <f t="shared" si="10"/>
        <v>2</v>
      </c>
      <c r="O334" s="6" t="str">
        <f t="shared" si="11"/>
        <v>Diana</v>
      </c>
    </row>
    <row r="335" spans="1:15" x14ac:dyDescent="0.3">
      <c r="A335" s="10">
        <v>334</v>
      </c>
      <c r="B335" s="18">
        <v>45260</v>
      </c>
      <c r="C335" s="6" t="s">
        <v>353</v>
      </c>
      <c r="D335" s="6" t="s">
        <v>4</v>
      </c>
      <c r="E335" s="6" t="s">
        <v>19</v>
      </c>
      <c r="F335" s="6">
        <v>56</v>
      </c>
      <c r="G335" s="6" t="s">
        <v>20</v>
      </c>
      <c r="H335" s="6">
        <v>1</v>
      </c>
      <c r="I335" s="6">
        <v>93</v>
      </c>
      <c r="J335" s="11">
        <v>93</v>
      </c>
      <c r="M335" s="6" t="str" cm="1">
        <f t="array" ref="M335">_xlfn.IFS(J335&lt;=500,"Low",J335&gt;=1500,"Mid",J335&lt;=1500,"High",TRUE,"no")</f>
        <v>Low</v>
      </c>
      <c r="N335" s="6">
        <f t="shared" si="10"/>
        <v>10</v>
      </c>
      <c r="O335" s="6" t="str">
        <f t="shared" si="11"/>
        <v>Alice</v>
      </c>
    </row>
    <row r="336" spans="1:15" x14ac:dyDescent="0.3">
      <c r="A336" s="10">
        <v>335</v>
      </c>
      <c r="B336" s="18">
        <v>45261</v>
      </c>
      <c r="C336" s="6" t="s">
        <v>354</v>
      </c>
      <c r="D336" s="6" t="s">
        <v>1</v>
      </c>
      <c r="E336" s="6" t="s">
        <v>14</v>
      </c>
      <c r="F336" s="6">
        <v>22</v>
      </c>
      <c r="G336" s="6" t="s">
        <v>27</v>
      </c>
      <c r="H336" s="6">
        <v>2</v>
      </c>
      <c r="I336" s="6">
        <v>39</v>
      </c>
      <c r="J336" s="11">
        <v>78</v>
      </c>
      <c r="M336" s="6" t="str" cm="1">
        <f t="array" ref="M336">_xlfn.IFS(J336&lt;=500,"Low",J336&gt;=1500,"Mid",J336&lt;=1500,"High",TRUE,"no")</f>
        <v>Low</v>
      </c>
      <c r="N336" s="6">
        <f t="shared" si="10"/>
        <v>1</v>
      </c>
      <c r="O336" s="6" t="str">
        <f t="shared" si="11"/>
        <v>Charlie</v>
      </c>
    </row>
    <row r="337" spans="1:15" x14ac:dyDescent="0.3">
      <c r="A337" s="10">
        <v>336</v>
      </c>
      <c r="B337" s="18">
        <v>45262</v>
      </c>
      <c r="C337" s="6" t="s">
        <v>355</v>
      </c>
      <c r="D337" s="6" t="s">
        <v>1</v>
      </c>
      <c r="E337" s="6" t="s">
        <v>14</v>
      </c>
      <c r="F337" s="6">
        <v>53</v>
      </c>
      <c r="G337" s="6" t="s">
        <v>15</v>
      </c>
      <c r="H337" s="6">
        <v>1</v>
      </c>
      <c r="I337" s="6">
        <v>144</v>
      </c>
      <c r="J337" s="11">
        <v>144</v>
      </c>
      <c r="M337" s="6" t="str" cm="1">
        <f t="array" ref="M337">_xlfn.IFS(J337&lt;=500,"Low",J337&gt;=1500,"Mid",J337&lt;=1500,"High",TRUE,"no")</f>
        <v>Low</v>
      </c>
      <c r="N337" s="6">
        <f t="shared" si="10"/>
        <v>1</v>
      </c>
      <c r="O337" s="6" t="str">
        <f t="shared" si="11"/>
        <v>Charlie</v>
      </c>
    </row>
    <row r="338" spans="1:15" x14ac:dyDescent="0.3">
      <c r="A338" s="10">
        <v>337</v>
      </c>
      <c r="B338" s="18">
        <v>45263</v>
      </c>
      <c r="C338" s="6" t="s">
        <v>356</v>
      </c>
      <c r="D338" s="6" t="s">
        <v>2</v>
      </c>
      <c r="E338" s="6" t="s">
        <v>14</v>
      </c>
      <c r="F338" s="6">
        <v>40</v>
      </c>
      <c r="G338" s="6" t="s">
        <v>15</v>
      </c>
      <c r="H338" s="6">
        <v>5</v>
      </c>
      <c r="I338" s="6">
        <v>68</v>
      </c>
      <c r="J338" s="11">
        <v>340</v>
      </c>
      <c r="M338" s="6" t="str" cm="1">
        <f t="array" ref="M338">_xlfn.IFS(J338&lt;=500,"Low",J338&gt;=1500,"Mid",J338&lt;=1500,"High",TRUE,"no")</f>
        <v>Low</v>
      </c>
      <c r="N338" s="6">
        <f t="shared" si="10"/>
        <v>2</v>
      </c>
      <c r="O338" s="6" t="str">
        <f t="shared" si="11"/>
        <v>Diana</v>
      </c>
    </row>
    <row r="339" spans="1:15" x14ac:dyDescent="0.3">
      <c r="A339" s="10">
        <v>338</v>
      </c>
      <c r="B339" s="18">
        <v>45264</v>
      </c>
      <c r="C339" s="6" t="s">
        <v>357</v>
      </c>
      <c r="D339" s="6" t="s">
        <v>3</v>
      </c>
      <c r="E339" s="6" t="s">
        <v>14</v>
      </c>
      <c r="F339" s="6">
        <v>18</v>
      </c>
      <c r="G339" s="6" t="s">
        <v>17</v>
      </c>
      <c r="H339" s="6">
        <v>3</v>
      </c>
      <c r="I339" s="6">
        <v>59</v>
      </c>
      <c r="J339" s="11">
        <v>177</v>
      </c>
      <c r="M339" s="6" t="str" cm="1">
        <f t="array" ref="M339">_xlfn.IFS(J339&lt;=500,"Low",J339&gt;=1500,"Mid",J339&lt;=1500,"High",TRUE,"no")</f>
        <v>Low</v>
      </c>
      <c r="N339" s="6">
        <f t="shared" si="10"/>
        <v>7</v>
      </c>
      <c r="O339" s="6" t="str">
        <f t="shared" si="11"/>
        <v>Bob</v>
      </c>
    </row>
    <row r="340" spans="1:15" x14ac:dyDescent="0.3">
      <c r="A340" s="10">
        <v>339</v>
      </c>
      <c r="B340" s="18">
        <v>45265</v>
      </c>
      <c r="C340" s="6" t="s">
        <v>358</v>
      </c>
      <c r="D340" s="6" t="s">
        <v>4</v>
      </c>
      <c r="E340" s="6" t="s">
        <v>19</v>
      </c>
      <c r="F340" s="6">
        <v>39</v>
      </c>
      <c r="G340" s="6" t="s">
        <v>20</v>
      </c>
      <c r="H340" s="6">
        <v>4</v>
      </c>
      <c r="I340" s="6">
        <v>38</v>
      </c>
      <c r="J340" s="11">
        <v>152</v>
      </c>
      <c r="M340" s="6" t="str" cm="1">
        <f t="array" ref="M340">_xlfn.IFS(J340&lt;=500,"Low",J340&gt;=1500,"Mid",J340&lt;=1500,"High",TRUE,"no")</f>
        <v>Low</v>
      </c>
      <c r="N340" s="6">
        <f t="shared" si="10"/>
        <v>10</v>
      </c>
      <c r="O340" s="6" t="str">
        <f t="shared" si="11"/>
        <v>Alice</v>
      </c>
    </row>
    <row r="341" spans="1:15" x14ac:dyDescent="0.3">
      <c r="A341" s="10">
        <v>340</v>
      </c>
      <c r="B341" s="18">
        <v>45266</v>
      </c>
      <c r="C341" s="6" t="s">
        <v>359</v>
      </c>
      <c r="D341" s="6" t="s">
        <v>1</v>
      </c>
      <c r="E341" s="6" t="s">
        <v>19</v>
      </c>
      <c r="F341" s="6">
        <v>35</v>
      </c>
      <c r="G341" s="6" t="s">
        <v>20</v>
      </c>
      <c r="H341" s="6">
        <v>2</v>
      </c>
      <c r="I341" s="6">
        <v>158</v>
      </c>
      <c r="J341" s="11">
        <v>316</v>
      </c>
      <c r="M341" s="6" t="str" cm="1">
        <f t="array" ref="M341">_xlfn.IFS(J341&lt;=500,"Low",J341&gt;=1500,"Mid",J341&lt;=1500,"High",TRUE,"no")</f>
        <v>Low</v>
      </c>
      <c r="N341" s="6">
        <f t="shared" si="10"/>
        <v>1</v>
      </c>
      <c r="O341" s="6" t="str">
        <f t="shared" si="11"/>
        <v>Charlie</v>
      </c>
    </row>
    <row r="342" spans="1:15" x14ac:dyDescent="0.3">
      <c r="A342" s="10">
        <v>341</v>
      </c>
      <c r="B342" s="18">
        <v>45267</v>
      </c>
      <c r="C342" s="6" t="s">
        <v>360</v>
      </c>
      <c r="D342" s="6" t="s">
        <v>2</v>
      </c>
      <c r="E342" s="6" t="s">
        <v>14</v>
      </c>
      <c r="F342" s="6">
        <v>58</v>
      </c>
      <c r="G342" s="6" t="s">
        <v>27</v>
      </c>
      <c r="H342" s="6">
        <v>2</v>
      </c>
      <c r="I342" s="6">
        <v>324</v>
      </c>
      <c r="J342" s="11">
        <v>648</v>
      </c>
      <c r="M342" s="6" t="str" cm="1">
        <f t="array" ref="M342">_xlfn.IFS(J342&lt;=500,"Low",J342&gt;=1500,"Mid",J342&lt;=1500,"High",TRUE,"no")</f>
        <v>High</v>
      </c>
      <c r="N342" s="6">
        <f t="shared" si="10"/>
        <v>2</v>
      </c>
      <c r="O342" s="6" t="str">
        <f t="shared" si="11"/>
        <v>Diana</v>
      </c>
    </row>
    <row r="343" spans="1:15" x14ac:dyDescent="0.3">
      <c r="A343" s="10">
        <v>342</v>
      </c>
      <c r="B343" s="18">
        <v>45268</v>
      </c>
      <c r="C343" s="6" t="s">
        <v>361</v>
      </c>
      <c r="D343" s="6" t="s">
        <v>2</v>
      </c>
      <c r="E343" s="6" t="s">
        <v>14</v>
      </c>
      <c r="F343" s="6">
        <v>50</v>
      </c>
      <c r="G343" s="6" t="s">
        <v>20</v>
      </c>
      <c r="H343" s="6">
        <v>2</v>
      </c>
      <c r="I343" s="6">
        <v>261</v>
      </c>
      <c r="J343" s="11">
        <v>522</v>
      </c>
      <c r="M343" s="6" t="str" cm="1">
        <f t="array" ref="M343">_xlfn.IFS(J343&lt;=500,"Low",J343&gt;=1500,"Mid",J343&lt;=1500,"High",TRUE,"no")</f>
        <v>High</v>
      </c>
      <c r="N343" s="6">
        <f t="shared" si="10"/>
        <v>2</v>
      </c>
      <c r="O343" s="6" t="str">
        <f t="shared" si="11"/>
        <v>Diana</v>
      </c>
    </row>
    <row r="344" spans="1:15" x14ac:dyDescent="0.3">
      <c r="A344" s="10">
        <v>343</v>
      </c>
      <c r="B344" s="18">
        <v>45269</v>
      </c>
      <c r="C344" s="6" t="s">
        <v>362</v>
      </c>
      <c r="D344" s="6" t="s">
        <v>2</v>
      </c>
      <c r="E344" s="6" t="s">
        <v>19</v>
      </c>
      <c r="F344" s="6">
        <v>33</v>
      </c>
      <c r="G344" s="6" t="s">
        <v>15</v>
      </c>
      <c r="H344" s="6">
        <v>5</v>
      </c>
      <c r="I344" s="6">
        <v>375</v>
      </c>
      <c r="J344" s="11">
        <v>1875</v>
      </c>
      <c r="M344" s="6" t="str" cm="1">
        <f t="array" ref="M344">_xlfn.IFS(J344&lt;=500,"Low",J344&gt;=1500,"Mid",J344&lt;=1500,"High",TRUE,"no")</f>
        <v>Mid</v>
      </c>
      <c r="N344" s="6">
        <f t="shared" si="10"/>
        <v>2</v>
      </c>
      <c r="O344" s="6" t="str">
        <f t="shared" si="11"/>
        <v>Diana</v>
      </c>
    </row>
    <row r="345" spans="1:15" x14ac:dyDescent="0.3">
      <c r="A345" s="10">
        <v>344</v>
      </c>
      <c r="B345" s="18">
        <v>45270</v>
      </c>
      <c r="C345" s="6" t="s">
        <v>363</v>
      </c>
      <c r="D345" s="6" t="s">
        <v>1</v>
      </c>
      <c r="E345" s="6" t="s">
        <v>19</v>
      </c>
      <c r="F345" s="6">
        <v>28</v>
      </c>
      <c r="G345" s="6" t="s">
        <v>15</v>
      </c>
      <c r="H345" s="6">
        <v>5</v>
      </c>
      <c r="I345" s="6">
        <v>448</v>
      </c>
      <c r="J345" s="11">
        <v>2240</v>
      </c>
      <c r="M345" s="6" t="str" cm="1">
        <f t="array" ref="M345">_xlfn.IFS(J345&lt;=500,"Low",J345&gt;=1500,"Mid",J345&lt;=1500,"High",TRUE,"no")</f>
        <v>Mid</v>
      </c>
      <c r="N345" s="6">
        <f t="shared" si="10"/>
        <v>1</v>
      </c>
      <c r="O345" s="6" t="str">
        <f t="shared" si="11"/>
        <v>Charlie</v>
      </c>
    </row>
    <row r="346" spans="1:15" x14ac:dyDescent="0.3">
      <c r="A346" s="10">
        <v>345</v>
      </c>
      <c r="B346" s="18">
        <v>45271</v>
      </c>
      <c r="C346" s="6" t="s">
        <v>364</v>
      </c>
      <c r="D346" s="6" t="s">
        <v>4</v>
      </c>
      <c r="E346" s="6" t="s">
        <v>19</v>
      </c>
      <c r="F346" s="6">
        <v>54</v>
      </c>
      <c r="G346" s="6" t="s">
        <v>27</v>
      </c>
      <c r="H346" s="6">
        <v>5</v>
      </c>
      <c r="I346" s="6">
        <v>317</v>
      </c>
      <c r="J346" s="11">
        <v>1585</v>
      </c>
      <c r="M346" s="6" t="str" cm="1">
        <f t="array" ref="M346">_xlfn.IFS(J346&lt;=500,"Low",J346&gt;=1500,"Mid",J346&lt;=1500,"High",TRUE,"no")</f>
        <v>Mid</v>
      </c>
      <c r="N346" s="6">
        <f t="shared" si="10"/>
        <v>10</v>
      </c>
      <c r="O346" s="6" t="str">
        <f t="shared" si="11"/>
        <v>Alice</v>
      </c>
    </row>
    <row r="347" spans="1:15" x14ac:dyDescent="0.3">
      <c r="A347" s="10">
        <v>346</v>
      </c>
      <c r="B347" s="18">
        <v>45272</v>
      </c>
      <c r="C347" s="6" t="s">
        <v>365</v>
      </c>
      <c r="D347" s="6" t="s">
        <v>3</v>
      </c>
      <c r="E347" s="6" t="s">
        <v>14</v>
      </c>
      <c r="F347" s="6">
        <v>42</v>
      </c>
      <c r="G347" s="6" t="s">
        <v>27</v>
      </c>
      <c r="H347" s="6">
        <v>5</v>
      </c>
      <c r="I347" s="6">
        <v>156</v>
      </c>
      <c r="J347" s="11">
        <v>780</v>
      </c>
      <c r="M347" s="6" t="str" cm="1">
        <f t="array" ref="M347">_xlfn.IFS(J347&lt;=500,"Low",J347&gt;=1500,"Mid",J347&lt;=1500,"High",TRUE,"no")</f>
        <v>High</v>
      </c>
      <c r="N347" s="6">
        <f t="shared" si="10"/>
        <v>7</v>
      </c>
      <c r="O347" s="6" t="str">
        <f t="shared" si="11"/>
        <v>Bob</v>
      </c>
    </row>
    <row r="348" spans="1:15" x14ac:dyDescent="0.3">
      <c r="A348" s="10">
        <v>347</v>
      </c>
      <c r="B348" s="18">
        <v>45273</v>
      </c>
      <c r="C348" s="6" t="s">
        <v>366</v>
      </c>
      <c r="D348" s="6" t="s">
        <v>4</v>
      </c>
      <c r="E348" s="6" t="s">
        <v>14</v>
      </c>
      <c r="F348" s="6">
        <v>22</v>
      </c>
      <c r="G348" s="6" t="s">
        <v>23</v>
      </c>
      <c r="H348" s="6">
        <v>5</v>
      </c>
      <c r="I348" s="6">
        <v>329</v>
      </c>
      <c r="J348" s="11">
        <v>1645</v>
      </c>
      <c r="M348" s="6" t="str" cm="1">
        <f t="array" ref="M348">_xlfn.IFS(J348&lt;=500,"Low",J348&gt;=1500,"Mid",J348&lt;=1500,"High",TRUE,"no")</f>
        <v>Mid</v>
      </c>
      <c r="N348" s="6">
        <f t="shared" si="10"/>
        <v>10</v>
      </c>
      <c r="O348" s="6" t="str">
        <f t="shared" si="11"/>
        <v>Alice</v>
      </c>
    </row>
    <row r="349" spans="1:15" x14ac:dyDescent="0.3">
      <c r="A349" s="10">
        <v>348</v>
      </c>
      <c r="B349" s="18">
        <v>45274</v>
      </c>
      <c r="C349" s="6" t="s">
        <v>367</v>
      </c>
      <c r="D349" s="6" t="s">
        <v>2</v>
      </c>
      <c r="E349" s="6" t="s">
        <v>19</v>
      </c>
      <c r="F349" s="6">
        <v>56</v>
      </c>
      <c r="G349" s="6" t="s">
        <v>17</v>
      </c>
      <c r="H349" s="6">
        <v>1</v>
      </c>
      <c r="I349" s="6">
        <v>61</v>
      </c>
      <c r="J349" s="11">
        <v>61</v>
      </c>
      <c r="M349" s="6" t="str" cm="1">
        <f t="array" ref="M349">_xlfn.IFS(J349&lt;=500,"Low",J349&gt;=1500,"Mid",J349&lt;=1500,"High",TRUE,"no")</f>
        <v>Low</v>
      </c>
      <c r="N349" s="6">
        <f t="shared" si="10"/>
        <v>2</v>
      </c>
      <c r="O349" s="6" t="str">
        <f t="shared" si="11"/>
        <v>Diana</v>
      </c>
    </row>
    <row r="350" spans="1:15" x14ac:dyDescent="0.3">
      <c r="A350" s="10">
        <v>349</v>
      </c>
      <c r="B350" s="18">
        <v>45275</v>
      </c>
      <c r="C350" s="6" t="s">
        <v>368</v>
      </c>
      <c r="D350" s="6" t="s">
        <v>2</v>
      </c>
      <c r="E350" s="6" t="s">
        <v>14</v>
      </c>
      <c r="F350" s="6">
        <v>24</v>
      </c>
      <c r="G350" s="6" t="s">
        <v>23</v>
      </c>
      <c r="H350" s="6">
        <v>5</v>
      </c>
      <c r="I350" s="6">
        <v>366</v>
      </c>
      <c r="J350" s="11">
        <v>1830</v>
      </c>
      <c r="M350" s="6" t="str" cm="1">
        <f t="array" ref="M350">_xlfn.IFS(J350&lt;=500,"Low",J350&gt;=1500,"Mid",J350&lt;=1500,"High",TRUE,"no")</f>
        <v>Mid</v>
      </c>
      <c r="N350" s="6">
        <f t="shared" si="10"/>
        <v>2</v>
      </c>
      <c r="O350" s="6" t="str">
        <f t="shared" si="11"/>
        <v>Diana</v>
      </c>
    </row>
    <row r="351" spans="1:15" x14ac:dyDescent="0.3">
      <c r="A351" s="10">
        <v>350</v>
      </c>
      <c r="B351" s="18">
        <v>45276</v>
      </c>
      <c r="C351" s="6" t="s">
        <v>369</v>
      </c>
      <c r="D351" s="6" t="s">
        <v>3</v>
      </c>
      <c r="E351" s="6" t="s">
        <v>14</v>
      </c>
      <c r="F351" s="6">
        <v>19</v>
      </c>
      <c r="G351" s="6" t="s">
        <v>17</v>
      </c>
      <c r="H351" s="6">
        <v>3</v>
      </c>
      <c r="I351" s="6">
        <v>62</v>
      </c>
      <c r="J351" s="11">
        <v>186</v>
      </c>
      <c r="M351" s="6" t="str" cm="1">
        <f t="array" ref="M351">_xlfn.IFS(J351&lt;=500,"Low",J351&gt;=1500,"Mid",J351&lt;=1500,"High",TRUE,"no")</f>
        <v>Low</v>
      </c>
      <c r="N351" s="6">
        <f t="shared" si="10"/>
        <v>7</v>
      </c>
      <c r="O351" s="6" t="str">
        <f t="shared" si="11"/>
        <v>Bob</v>
      </c>
    </row>
    <row r="352" spans="1:15" x14ac:dyDescent="0.3">
      <c r="A352" s="10">
        <v>351</v>
      </c>
      <c r="B352" s="18">
        <v>45277</v>
      </c>
      <c r="C352" s="6" t="s">
        <v>370</v>
      </c>
      <c r="D352" s="6" t="s">
        <v>4</v>
      </c>
      <c r="E352" s="6" t="s">
        <v>14</v>
      </c>
      <c r="F352" s="6">
        <v>26</v>
      </c>
      <c r="G352" s="6" t="s">
        <v>17</v>
      </c>
      <c r="H352" s="6">
        <v>1</v>
      </c>
      <c r="I352" s="6">
        <v>102</v>
      </c>
      <c r="J352" s="11">
        <v>102</v>
      </c>
      <c r="M352" s="6" t="str" cm="1">
        <f t="array" ref="M352">_xlfn.IFS(J352&lt;=500,"Low",J352&gt;=1500,"Mid",J352&lt;=1500,"High",TRUE,"no")</f>
        <v>Low</v>
      </c>
      <c r="N352" s="6">
        <f t="shared" si="10"/>
        <v>10</v>
      </c>
      <c r="O352" s="6" t="str">
        <f t="shared" si="11"/>
        <v>Alice</v>
      </c>
    </row>
    <row r="353" spans="1:15" x14ac:dyDescent="0.3">
      <c r="A353" s="10">
        <v>352</v>
      </c>
      <c r="B353" s="18">
        <v>45278</v>
      </c>
      <c r="C353" s="6" t="s">
        <v>371</v>
      </c>
      <c r="D353" s="6" t="s">
        <v>2</v>
      </c>
      <c r="E353" s="6" t="s">
        <v>19</v>
      </c>
      <c r="F353" s="6">
        <v>34</v>
      </c>
      <c r="G353" s="6" t="s">
        <v>17</v>
      </c>
      <c r="H353" s="6">
        <v>2</v>
      </c>
      <c r="I353" s="6">
        <v>78</v>
      </c>
      <c r="J353" s="11">
        <v>156</v>
      </c>
      <c r="M353" s="6" t="str" cm="1">
        <f t="array" ref="M353">_xlfn.IFS(J353&lt;=500,"Low",J353&gt;=1500,"Mid",J353&lt;=1500,"High",TRUE,"no")</f>
        <v>Low</v>
      </c>
      <c r="N353" s="6">
        <f t="shared" si="10"/>
        <v>2</v>
      </c>
      <c r="O353" s="6" t="str">
        <f t="shared" si="11"/>
        <v>Diana</v>
      </c>
    </row>
    <row r="354" spans="1:15" x14ac:dyDescent="0.3">
      <c r="A354" s="10">
        <v>353</v>
      </c>
      <c r="B354" s="18">
        <v>45279</v>
      </c>
      <c r="C354" s="6" t="s">
        <v>372</v>
      </c>
      <c r="D354" s="6" t="s">
        <v>2</v>
      </c>
      <c r="E354" s="6" t="s">
        <v>14</v>
      </c>
      <c r="F354" s="6">
        <v>56</v>
      </c>
      <c r="G354" s="6" t="s">
        <v>17</v>
      </c>
      <c r="H354" s="6">
        <v>2</v>
      </c>
      <c r="I354" s="6">
        <v>88</v>
      </c>
      <c r="J354" s="11">
        <v>176</v>
      </c>
      <c r="M354" s="6" t="str" cm="1">
        <f t="array" ref="M354">_xlfn.IFS(J354&lt;=500,"Low",J354&gt;=1500,"Mid",J354&lt;=1500,"High",TRUE,"no")</f>
        <v>Low</v>
      </c>
      <c r="N354" s="6">
        <f t="shared" si="10"/>
        <v>2</v>
      </c>
      <c r="O354" s="6" t="str">
        <f t="shared" si="11"/>
        <v>Diana</v>
      </c>
    </row>
    <row r="355" spans="1:15" x14ac:dyDescent="0.3">
      <c r="A355" s="10">
        <v>354</v>
      </c>
      <c r="B355" s="18">
        <v>45280</v>
      </c>
      <c r="C355" s="6" t="s">
        <v>373</v>
      </c>
      <c r="D355" s="6" t="s">
        <v>4</v>
      </c>
      <c r="E355" s="6" t="s">
        <v>19</v>
      </c>
      <c r="F355" s="6">
        <v>47</v>
      </c>
      <c r="G355" s="6" t="s">
        <v>15</v>
      </c>
      <c r="H355" s="6">
        <v>3</v>
      </c>
      <c r="I355" s="6">
        <v>469</v>
      </c>
      <c r="J355" s="11">
        <v>1407</v>
      </c>
      <c r="M355" s="6" t="str" cm="1">
        <f t="array" ref="M355">_xlfn.IFS(J355&lt;=500,"Low",J355&gt;=1500,"Mid",J355&lt;=1500,"High",TRUE,"no")</f>
        <v>High</v>
      </c>
      <c r="N355" s="6">
        <f t="shared" si="10"/>
        <v>10</v>
      </c>
      <c r="O355" s="6" t="str">
        <f t="shared" si="11"/>
        <v>Alice</v>
      </c>
    </row>
    <row r="356" spans="1:15" x14ac:dyDescent="0.3">
      <c r="A356" s="10">
        <v>355</v>
      </c>
      <c r="B356" s="18">
        <v>45281</v>
      </c>
      <c r="C356" s="6" t="s">
        <v>374</v>
      </c>
      <c r="D356" s="6" t="s">
        <v>2</v>
      </c>
      <c r="E356" s="6" t="s">
        <v>14</v>
      </c>
      <c r="F356" s="6">
        <v>33</v>
      </c>
      <c r="G356" s="6" t="s">
        <v>20</v>
      </c>
      <c r="H356" s="6">
        <v>4</v>
      </c>
      <c r="I356" s="6">
        <v>437</v>
      </c>
      <c r="J356" s="11">
        <v>1748</v>
      </c>
      <c r="M356" s="6" t="str" cm="1">
        <f t="array" ref="M356">_xlfn.IFS(J356&lt;=500,"Low",J356&gt;=1500,"Mid",J356&lt;=1500,"High",TRUE,"no")</f>
        <v>Mid</v>
      </c>
      <c r="N356" s="6">
        <f t="shared" si="10"/>
        <v>2</v>
      </c>
      <c r="O356" s="6" t="str">
        <f t="shared" si="11"/>
        <v>Diana</v>
      </c>
    </row>
    <row r="357" spans="1:15" x14ac:dyDescent="0.3">
      <c r="A357" s="10">
        <v>356</v>
      </c>
      <c r="B357" s="18">
        <v>45282</v>
      </c>
      <c r="C357" s="6" t="s">
        <v>375</v>
      </c>
      <c r="D357" s="6" t="s">
        <v>4</v>
      </c>
      <c r="E357" s="6" t="s">
        <v>19</v>
      </c>
      <c r="F357" s="6">
        <v>35</v>
      </c>
      <c r="G357" s="6" t="s">
        <v>17</v>
      </c>
      <c r="H357" s="6">
        <v>4</v>
      </c>
      <c r="I357" s="6">
        <v>266</v>
      </c>
      <c r="J357" s="11">
        <v>1064</v>
      </c>
      <c r="M357" s="6" t="str" cm="1">
        <f t="array" ref="M357">_xlfn.IFS(J357&lt;=500,"Low",J357&gt;=1500,"Mid",J357&lt;=1500,"High",TRUE,"no")</f>
        <v>High</v>
      </c>
      <c r="N357" s="6">
        <f t="shared" si="10"/>
        <v>10</v>
      </c>
      <c r="O357" s="6" t="str">
        <f t="shared" si="11"/>
        <v>Alice</v>
      </c>
    </row>
    <row r="358" spans="1:15" x14ac:dyDescent="0.3">
      <c r="A358" s="10">
        <v>357</v>
      </c>
      <c r="B358" s="18">
        <v>45283</v>
      </c>
      <c r="C358" s="6" t="s">
        <v>376</v>
      </c>
      <c r="D358" s="6" t="s">
        <v>2</v>
      </c>
      <c r="E358" s="6" t="s">
        <v>19</v>
      </c>
      <c r="F358" s="6">
        <v>38</v>
      </c>
      <c r="G358" s="6" t="s">
        <v>15</v>
      </c>
      <c r="H358" s="6">
        <v>3</v>
      </c>
      <c r="I358" s="6">
        <v>481</v>
      </c>
      <c r="J358" s="11">
        <v>1443</v>
      </c>
      <c r="M358" s="6" t="str" cm="1">
        <f t="array" ref="M358">_xlfn.IFS(J358&lt;=500,"Low",J358&gt;=1500,"Mid",J358&lt;=1500,"High",TRUE,"no")</f>
        <v>High</v>
      </c>
      <c r="N358" s="6">
        <f t="shared" si="10"/>
        <v>2</v>
      </c>
      <c r="O358" s="6" t="str">
        <f t="shared" si="11"/>
        <v>Diana</v>
      </c>
    </row>
    <row r="359" spans="1:15" x14ac:dyDescent="0.3">
      <c r="A359" s="10">
        <v>358</v>
      </c>
      <c r="B359" s="18">
        <v>45284</v>
      </c>
      <c r="C359" s="6" t="s">
        <v>377</v>
      </c>
      <c r="D359" s="6" t="s">
        <v>4</v>
      </c>
      <c r="E359" s="6" t="s">
        <v>14</v>
      </c>
      <c r="F359" s="6">
        <v>33</v>
      </c>
      <c r="G359" s="6" t="s">
        <v>23</v>
      </c>
      <c r="H359" s="6">
        <v>1</v>
      </c>
      <c r="I359" s="6">
        <v>455</v>
      </c>
      <c r="J359" s="11">
        <v>455</v>
      </c>
      <c r="M359" s="6" t="str" cm="1">
        <f t="array" ref="M359">_xlfn.IFS(J359&lt;=500,"Low",J359&gt;=1500,"Mid",J359&lt;=1500,"High",TRUE,"no")</f>
        <v>Low</v>
      </c>
      <c r="N359" s="6">
        <f t="shared" si="10"/>
        <v>10</v>
      </c>
      <c r="O359" s="6" t="str">
        <f t="shared" si="11"/>
        <v>Alice</v>
      </c>
    </row>
    <row r="360" spans="1:15" x14ac:dyDescent="0.3">
      <c r="A360" s="10">
        <v>359</v>
      </c>
      <c r="B360" s="18">
        <v>45285</v>
      </c>
      <c r="C360" s="6" t="s">
        <v>378</v>
      </c>
      <c r="D360" s="6" t="s">
        <v>3</v>
      </c>
      <c r="E360" s="6" t="s">
        <v>19</v>
      </c>
      <c r="F360" s="6">
        <v>20</v>
      </c>
      <c r="G360" s="6" t="s">
        <v>23</v>
      </c>
      <c r="H360" s="6">
        <v>1</v>
      </c>
      <c r="I360" s="6">
        <v>182</v>
      </c>
      <c r="J360" s="11">
        <v>182</v>
      </c>
      <c r="M360" s="6" t="str" cm="1">
        <f t="array" ref="M360">_xlfn.IFS(J360&lt;=500,"Low",J360&gt;=1500,"Mid",J360&lt;=1500,"High",TRUE,"no")</f>
        <v>Low</v>
      </c>
      <c r="N360" s="6">
        <f t="shared" si="10"/>
        <v>7</v>
      </c>
      <c r="O360" s="6" t="str">
        <f t="shared" si="11"/>
        <v>Bob</v>
      </c>
    </row>
    <row r="361" spans="1:15" x14ac:dyDescent="0.3">
      <c r="A361" s="10">
        <v>360</v>
      </c>
      <c r="B361" s="18">
        <v>45286</v>
      </c>
      <c r="C361" s="6" t="s">
        <v>379</v>
      </c>
      <c r="D361" s="6" t="s">
        <v>2</v>
      </c>
      <c r="E361" s="6" t="s">
        <v>14</v>
      </c>
      <c r="F361" s="6">
        <v>31</v>
      </c>
      <c r="G361" s="6" t="s">
        <v>27</v>
      </c>
      <c r="H361" s="6">
        <v>2</v>
      </c>
      <c r="I361" s="6">
        <v>312</v>
      </c>
      <c r="J361" s="11">
        <v>624</v>
      </c>
      <c r="M361" s="6" t="str" cm="1">
        <f t="array" ref="M361">_xlfn.IFS(J361&lt;=500,"Low",J361&gt;=1500,"Mid",J361&lt;=1500,"High",TRUE,"no")</f>
        <v>High</v>
      </c>
      <c r="N361" s="6">
        <f t="shared" si="10"/>
        <v>2</v>
      </c>
      <c r="O361" s="6" t="str">
        <f t="shared" si="11"/>
        <v>Diana</v>
      </c>
    </row>
    <row r="362" spans="1:15" x14ac:dyDescent="0.3">
      <c r="A362" s="10">
        <v>361</v>
      </c>
      <c r="B362" s="18">
        <v>45287</v>
      </c>
      <c r="C362" s="6" t="s">
        <v>380</v>
      </c>
      <c r="D362" s="6" t="s">
        <v>3</v>
      </c>
      <c r="E362" s="6" t="s">
        <v>19</v>
      </c>
      <c r="F362" s="6">
        <v>46</v>
      </c>
      <c r="G362" s="6" t="s">
        <v>23</v>
      </c>
      <c r="H362" s="6">
        <v>4</v>
      </c>
      <c r="I362" s="6">
        <v>364</v>
      </c>
      <c r="J362" s="11">
        <v>1456</v>
      </c>
      <c r="M362" s="6" t="str" cm="1">
        <f t="array" ref="M362">_xlfn.IFS(J362&lt;=500,"Low",J362&gt;=1500,"Mid",J362&lt;=1500,"High",TRUE,"no")</f>
        <v>High</v>
      </c>
      <c r="N362" s="6">
        <f t="shared" si="10"/>
        <v>7</v>
      </c>
      <c r="O362" s="6" t="str">
        <f t="shared" si="11"/>
        <v>Bob</v>
      </c>
    </row>
    <row r="363" spans="1:15" x14ac:dyDescent="0.3">
      <c r="A363" s="10">
        <v>362</v>
      </c>
      <c r="B363" s="18">
        <v>45288</v>
      </c>
      <c r="C363" s="6" t="s">
        <v>381</v>
      </c>
      <c r="D363" s="6" t="s">
        <v>2</v>
      </c>
      <c r="E363" s="6" t="s">
        <v>14</v>
      </c>
      <c r="F363" s="6">
        <v>24</v>
      </c>
      <c r="G363" s="6" t="s">
        <v>17</v>
      </c>
      <c r="H363" s="6">
        <v>2</v>
      </c>
      <c r="I363" s="6">
        <v>286</v>
      </c>
      <c r="J363" s="11">
        <v>572</v>
      </c>
      <c r="M363" s="6" t="str" cm="1">
        <f t="array" ref="M363">_xlfn.IFS(J363&lt;=500,"Low",J363&gt;=1500,"Mid",J363&lt;=1500,"High",TRUE,"no")</f>
        <v>High</v>
      </c>
      <c r="N363" s="6">
        <f t="shared" si="10"/>
        <v>2</v>
      </c>
      <c r="O363" s="6" t="str">
        <f t="shared" si="11"/>
        <v>Diana</v>
      </c>
    </row>
    <row r="364" spans="1:15" x14ac:dyDescent="0.3">
      <c r="A364" s="10">
        <v>363</v>
      </c>
      <c r="B364" s="18">
        <v>45289</v>
      </c>
      <c r="C364" s="6" t="s">
        <v>382</v>
      </c>
      <c r="D364" s="6" t="s">
        <v>2</v>
      </c>
      <c r="E364" s="6" t="s">
        <v>14</v>
      </c>
      <c r="F364" s="6">
        <v>30</v>
      </c>
      <c r="G364" s="6" t="s">
        <v>27</v>
      </c>
      <c r="H364" s="6">
        <v>4</v>
      </c>
      <c r="I364" s="6">
        <v>110</v>
      </c>
      <c r="J364" s="11">
        <v>440</v>
      </c>
      <c r="M364" s="6" t="str" cm="1">
        <f t="array" ref="M364">_xlfn.IFS(J364&lt;=500,"Low",J364&gt;=1500,"Mid",J364&lt;=1500,"High",TRUE,"no")</f>
        <v>Low</v>
      </c>
      <c r="N364" s="6">
        <f t="shared" si="10"/>
        <v>2</v>
      </c>
      <c r="O364" s="6" t="str">
        <f t="shared" si="11"/>
        <v>Diana</v>
      </c>
    </row>
    <row r="365" spans="1:15" x14ac:dyDescent="0.3">
      <c r="A365" s="10">
        <v>364</v>
      </c>
      <c r="B365" s="18">
        <v>45290</v>
      </c>
      <c r="C365" s="6" t="s">
        <v>383</v>
      </c>
      <c r="D365" s="6" t="s">
        <v>1</v>
      </c>
      <c r="E365" s="6" t="s">
        <v>14</v>
      </c>
      <c r="F365" s="6">
        <v>29</v>
      </c>
      <c r="G365" s="6" t="s">
        <v>20</v>
      </c>
      <c r="H365" s="6">
        <v>3</v>
      </c>
      <c r="I365" s="6">
        <v>39</v>
      </c>
      <c r="J365" s="11">
        <v>117</v>
      </c>
      <c r="M365" s="6" t="str" cm="1">
        <f t="array" ref="M365">_xlfn.IFS(J365&lt;=500,"Low",J365&gt;=1500,"Mid",J365&lt;=1500,"High",TRUE,"no")</f>
        <v>Low</v>
      </c>
      <c r="N365" s="6">
        <f t="shared" si="10"/>
        <v>1</v>
      </c>
      <c r="O365" s="6" t="str">
        <f t="shared" si="11"/>
        <v>Charlie</v>
      </c>
    </row>
    <row r="366" spans="1:15" x14ac:dyDescent="0.3">
      <c r="A366" s="10">
        <v>365</v>
      </c>
      <c r="B366" s="18">
        <v>45291</v>
      </c>
      <c r="C366" s="6" t="s">
        <v>384</v>
      </c>
      <c r="D366" s="6" t="s">
        <v>4</v>
      </c>
      <c r="E366" s="6" t="s">
        <v>19</v>
      </c>
      <c r="F366" s="6">
        <v>43</v>
      </c>
      <c r="G366" s="6" t="s">
        <v>20</v>
      </c>
      <c r="H366" s="6">
        <v>2</v>
      </c>
      <c r="I366" s="6">
        <v>157</v>
      </c>
      <c r="J366" s="11">
        <v>314</v>
      </c>
      <c r="M366" s="6" t="str" cm="1">
        <f t="array" ref="M366">_xlfn.IFS(J366&lt;=500,"Low",J366&gt;=1500,"Mid",J366&lt;=1500,"High",TRUE,"no")</f>
        <v>Low</v>
      </c>
      <c r="N366" s="6">
        <f t="shared" si="10"/>
        <v>10</v>
      </c>
      <c r="O366" s="6" t="str">
        <f t="shared" si="11"/>
        <v>Alice</v>
      </c>
    </row>
    <row r="367" spans="1:15" x14ac:dyDescent="0.3">
      <c r="A367" s="10">
        <v>366</v>
      </c>
      <c r="B367" s="18">
        <v>45292</v>
      </c>
      <c r="C367" s="6" t="s">
        <v>385</v>
      </c>
      <c r="D367" s="6" t="s">
        <v>3</v>
      </c>
      <c r="E367" s="6" t="s">
        <v>19</v>
      </c>
      <c r="F367" s="6">
        <v>35</v>
      </c>
      <c r="G367" s="6" t="s">
        <v>17</v>
      </c>
      <c r="H367" s="6">
        <v>4</v>
      </c>
      <c r="I367" s="6">
        <v>284</v>
      </c>
      <c r="J367" s="11">
        <v>1136</v>
      </c>
      <c r="M367" s="6" t="str" cm="1">
        <f t="array" ref="M367">_xlfn.IFS(J367&lt;=500,"Low",J367&gt;=1500,"Mid",J367&lt;=1500,"High",TRUE,"no")</f>
        <v>High</v>
      </c>
      <c r="N367" s="6">
        <f t="shared" si="10"/>
        <v>7</v>
      </c>
      <c r="O367" s="6" t="str">
        <f t="shared" si="11"/>
        <v>Bob</v>
      </c>
    </row>
    <row r="368" spans="1:15" x14ac:dyDescent="0.3">
      <c r="A368" s="10">
        <v>367</v>
      </c>
      <c r="B368" s="18">
        <v>45293</v>
      </c>
      <c r="C368" s="6" t="s">
        <v>386</v>
      </c>
      <c r="D368" s="6" t="s">
        <v>3</v>
      </c>
      <c r="E368" s="6" t="s">
        <v>19</v>
      </c>
      <c r="F368" s="6">
        <v>28</v>
      </c>
      <c r="G368" s="6" t="s">
        <v>20</v>
      </c>
      <c r="H368" s="6">
        <v>5</v>
      </c>
      <c r="I368" s="6">
        <v>443</v>
      </c>
      <c r="J368" s="11">
        <v>2215</v>
      </c>
      <c r="M368" s="6" t="str" cm="1">
        <f t="array" ref="M368">_xlfn.IFS(J368&lt;=500,"Low",J368&gt;=1500,"Mid",J368&lt;=1500,"High",TRUE,"no")</f>
        <v>Mid</v>
      </c>
      <c r="N368" s="6">
        <f t="shared" si="10"/>
        <v>7</v>
      </c>
      <c r="O368" s="6" t="str">
        <f t="shared" si="11"/>
        <v>Bob</v>
      </c>
    </row>
    <row r="369" spans="1:15" x14ac:dyDescent="0.3">
      <c r="A369" s="10">
        <v>368</v>
      </c>
      <c r="B369" s="18">
        <v>45294</v>
      </c>
      <c r="C369" s="6" t="s">
        <v>387</v>
      </c>
      <c r="D369" s="6" t="s">
        <v>3</v>
      </c>
      <c r="E369" s="6" t="s">
        <v>14</v>
      </c>
      <c r="F369" s="6">
        <v>52</v>
      </c>
      <c r="G369" s="6" t="s">
        <v>20</v>
      </c>
      <c r="H369" s="6">
        <v>3</v>
      </c>
      <c r="I369" s="6">
        <v>29</v>
      </c>
      <c r="J369" s="11">
        <v>87</v>
      </c>
      <c r="M369" s="6" t="str" cm="1">
        <f t="array" ref="M369">_xlfn.IFS(J369&lt;=500,"Low",J369&gt;=1500,"Mid",J369&lt;=1500,"High",TRUE,"no")</f>
        <v>Low</v>
      </c>
      <c r="N369" s="6">
        <f t="shared" si="10"/>
        <v>7</v>
      </c>
      <c r="O369" s="6" t="str">
        <f t="shared" si="11"/>
        <v>Bob</v>
      </c>
    </row>
    <row r="370" spans="1:15" x14ac:dyDescent="0.3">
      <c r="A370" s="10">
        <v>369</v>
      </c>
      <c r="B370" s="18">
        <v>45295</v>
      </c>
      <c r="C370" s="6" t="s">
        <v>388</v>
      </c>
      <c r="D370" s="6" t="s">
        <v>4</v>
      </c>
      <c r="E370" s="6" t="s">
        <v>19</v>
      </c>
      <c r="F370" s="6">
        <v>56</v>
      </c>
      <c r="G370" s="6" t="s">
        <v>23</v>
      </c>
      <c r="H370" s="6">
        <v>1</v>
      </c>
      <c r="I370" s="6">
        <v>262</v>
      </c>
      <c r="J370" s="11">
        <v>262</v>
      </c>
      <c r="M370" s="6" t="str" cm="1">
        <f t="array" ref="M370">_xlfn.IFS(J370&lt;=500,"Low",J370&gt;=1500,"Mid",J370&lt;=1500,"High",TRUE,"no")</f>
        <v>Low</v>
      </c>
      <c r="N370" s="6">
        <f t="shared" si="10"/>
        <v>10</v>
      </c>
      <c r="O370" s="6" t="str">
        <f t="shared" si="11"/>
        <v>Alice</v>
      </c>
    </row>
    <row r="371" spans="1:15" x14ac:dyDescent="0.3">
      <c r="A371" s="10">
        <v>370</v>
      </c>
      <c r="B371" s="18">
        <v>45296</v>
      </c>
      <c r="C371" s="6" t="s">
        <v>389</v>
      </c>
      <c r="D371" s="6" t="s">
        <v>1</v>
      </c>
      <c r="E371" s="6" t="s">
        <v>14</v>
      </c>
      <c r="F371" s="6">
        <v>43</v>
      </c>
      <c r="G371" s="6" t="s">
        <v>15</v>
      </c>
      <c r="H371" s="6">
        <v>5</v>
      </c>
      <c r="I371" s="6">
        <v>162</v>
      </c>
      <c r="J371" s="11">
        <v>810</v>
      </c>
      <c r="M371" s="6" t="str" cm="1">
        <f t="array" ref="M371">_xlfn.IFS(J371&lt;=500,"Low",J371&gt;=1500,"Mid",J371&lt;=1500,"High",TRUE,"no")</f>
        <v>High</v>
      </c>
      <c r="N371" s="6">
        <f t="shared" si="10"/>
        <v>1</v>
      </c>
      <c r="O371" s="6" t="str">
        <f t="shared" si="11"/>
        <v>Charlie</v>
      </c>
    </row>
    <row r="372" spans="1:15" x14ac:dyDescent="0.3">
      <c r="A372" s="10">
        <v>371</v>
      </c>
      <c r="B372" s="18">
        <v>45297</v>
      </c>
      <c r="C372" s="6" t="s">
        <v>390</v>
      </c>
      <c r="D372" s="6" t="s">
        <v>3</v>
      </c>
      <c r="E372" s="6" t="s">
        <v>14</v>
      </c>
      <c r="F372" s="6">
        <v>54</v>
      </c>
      <c r="G372" s="6" t="s">
        <v>15</v>
      </c>
      <c r="H372" s="6">
        <v>3</v>
      </c>
      <c r="I372" s="6">
        <v>32</v>
      </c>
      <c r="J372" s="11">
        <v>96</v>
      </c>
      <c r="M372" s="6" t="str" cm="1">
        <f t="array" ref="M372">_xlfn.IFS(J372&lt;=500,"Low",J372&gt;=1500,"Mid",J372&lt;=1500,"High",TRUE,"no")</f>
        <v>Low</v>
      </c>
      <c r="N372" s="6">
        <f t="shared" si="10"/>
        <v>7</v>
      </c>
      <c r="O372" s="6" t="str">
        <f t="shared" si="11"/>
        <v>Bob</v>
      </c>
    </row>
    <row r="373" spans="1:15" x14ac:dyDescent="0.3">
      <c r="A373" s="10">
        <v>372</v>
      </c>
      <c r="B373" s="18">
        <v>45298</v>
      </c>
      <c r="C373" s="6" t="s">
        <v>391</v>
      </c>
      <c r="D373" s="6" t="s">
        <v>4</v>
      </c>
      <c r="E373" s="6" t="s">
        <v>14</v>
      </c>
      <c r="F373" s="6">
        <v>46</v>
      </c>
      <c r="G373" s="6" t="s">
        <v>27</v>
      </c>
      <c r="H373" s="6">
        <v>2</v>
      </c>
      <c r="I373" s="6">
        <v>259</v>
      </c>
      <c r="J373" s="11">
        <v>518</v>
      </c>
      <c r="M373" s="6" t="str" cm="1">
        <f t="array" ref="M373">_xlfn.IFS(J373&lt;=500,"Low",J373&gt;=1500,"Mid",J373&lt;=1500,"High",TRUE,"no")</f>
        <v>High</v>
      </c>
      <c r="N373" s="6">
        <f t="shared" si="10"/>
        <v>10</v>
      </c>
      <c r="O373" s="6" t="str">
        <f t="shared" si="11"/>
        <v>Alice</v>
      </c>
    </row>
    <row r="374" spans="1:15" x14ac:dyDescent="0.3">
      <c r="A374" s="10">
        <v>373</v>
      </c>
      <c r="B374" s="18">
        <v>45299</v>
      </c>
      <c r="C374" s="6" t="s">
        <v>392</v>
      </c>
      <c r="D374" s="6" t="s">
        <v>2</v>
      </c>
      <c r="E374" s="6" t="s">
        <v>19</v>
      </c>
      <c r="F374" s="6">
        <v>42</v>
      </c>
      <c r="G374" s="6" t="s">
        <v>23</v>
      </c>
      <c r="H374" s="6">
        <v>3</v>
      </c>
      <c r="I374" s="6">
        <v>431</v>
      </c>
      <c r="J374" s="11">
        <v>1293</v>
      </c>
      <c r="M374" s="6" t="str" cm="1">
        <f t="array" ref="M374">_xlfn.IFS(J374&lt;=500,"Low",J374&gt;=1500,"Mid",J374&lt;=1500,"High",TRUE,"no")</f>
        <v>High</v>
      </c>
      <c r="N374" s="6">
        <f t="shared" si="10"/>
        <v>2</v>
      </c>
      <c r="O374" s="6" t="str">
        <f t="shared" si="11"/>
        <v>Diana</v>
      </c>
    </row>
    <row r="375" spans="1:15" x14ac:dyDescent="0.3">
      <c r="A375" s="10">
        <v>374</v>
      </c>
      <c r="B375" s="18">
        <v>45300</v>
      </c>
      <c r="C375" s="6" t="s">
        <v>393</v>
      </c>
      <c r="D375" s="6" t="s">
        <v>3</v>
      </c>
      <c r="E375" s="6" t="s">
        <v>14</v>
      </c>
      <c r="F375" s="6">
        <v>53</v>
      </c>
      <c r="G375" s="6" t="s">
        <v>15</v>
      </c>
      <c r="H375" s="6">
        <v>5</v>
      </c>
      <c r="I375" s="6">
        <v>366</v>
      </c>
      <c r="J375" s="11">
        <v>1830</v>
      </c>
      <c r="M375" s="6" t="str" cm="1">
        <f t="array" ref="M375">_xlfn.IFS(J375&lt;=500,"Low",J375&gt;=1500,"Mid",J375&lt;=1500,"High",TRUE,"no")</f>
        <v>Mid</v>
      </c>
      <c r="N375" s="6">
        <f t="shared" si="10"/>
        <v>7</v>
      </c>
      <c r="O375" s="6" t="str">
        <f t="shared" si="11"/>
        <v>Bob</v>
      </c>
    </row>
    <row r="376" spans="1:15" x14ac:dyDescent="0.3">
      <c r="A376" s="10">
        <v>375</v>
      </c>
      <c r="B376" s="18">
        <v>45301</v>
      </c>
      <c r="C376" s="6" t="s">
        <v>394</v>
      </c>
      <c r="D376" s="6" t="s">
        <v>3</v>
      </c>
      <c r="E376" s="6" t="s">
        <v>19</v>
      </c>
      <c r="F376" s="6">
        <v>60</v>
      </c>
      <c r="G376" s="6" t="s">
        <v>23</v>
      </c>
      <c r="H376" s="6">
        <v>3</v>
      </c>
      <c r="I376" s="6">
        <v>299</v>
      </c>
      <c r="J376" s="11">
        <v>897</v>
      </c>
      <c r="M376" s="6" t="str" cm="1">
        <f t="array" ref="M376">_xlfn.IFS(J376&lt;=500,"Low",J376&gt;=1500,"Mid",J376&lt;=1500,"High",TRUE,"no")</f>
        <v>High</v>
      </c>
      <c r="N376" s="6">
        <f t="shared" si="10"/>
        <v>7</v>
      </c>
      <c r="O376" s="6" t="str">
        <f t="shared" si="11"/>
        <v>Bob</v>
      </c>
    </row>
    <row r="377" spans="1:15" x14ac:dyDescent="0.3">
      <c r="A377" s="10">
        <v>376</v>
      </c>
      <c r="B377" s="18">
        <v>45302</v>
      </c>
      <c r="C377" s="6" t="s">
        <v>395</v>
      </c>
      <c r="D377" s="6" t="s">
        <v>1</v>
      </c>
      <c r="E377" s="6" t="s">
        <v>19</v>
      </c>
      <c r="F377" s="6">
        <v>19</v>
      </c>
      <c r="G377" s="6" t="s">
        <v>23</v>
      </c>
      <c r="H377" s="6">
        <v>2</v>
      </c>
      <c r="I377" s="6">
        <v>310</v>
      </c>
      <c r="J377" s="11">
        <v>620</v>
      </c>
      <c r="M377" s="6" t="str" cm="1">
        <f t="array" ref="M377">_xlfn.IFS(J377&lt;=500,"Low",J377&gt;=1500,"Mid",J377&lt;=1500,"High",TRUE,"no")</f>
        <v>High</v>
      </c>
      <c r="N377" s="6">
        <f t="shared" si="10"/>
        <v>1</v>
      </c>
      <c r="O377" s="6" t="str">
        <f t="shared" si="11"/>
        <v>Charlie</v>
      </c>
    </row>
    <row r="378" spans="1:15" x14ac:dyDescent="0.3">
      <c r="A378" s="10">
        <v>377</v>
      </c>
      <c r="B378" s="18">
        <v>45303</v>
      </c>
      <c r="C378" s="6" t="s">
        <v>396</v>
      </c>
      <c r="D378" s="6" t="s">
        <v>3</v>
      </c>
      <c r="E378" s="6" t="s">
        <v>14</v>
      </c>
      <c r="F378" s="6">
        <v>45</v>
      </c>
      <c r="G378" s="6" t="s">
        <v>27</v>
      </c>
      <c r="H378" s="6">
        <v>1</v>
      </c>
      <c r="I378" s="6">
        <v>291</v>
      </c>
      <c r="J378" s="11">
        <v>291</v>
      </c>
      <c r="M378" s="6" t="str" cm="1">
        <f t="array" ref="M378">_xlfn.IFS(J378&lt;=500,"Low",J378&gt;=1500,"Mid",J378&lt;=1500,"High",TRUE,"no")</f>
        <v>Low</v>
      </c>
      <c r="N378" s="6">
        <f t="shared" si="10"/>
        <v>7</v>
      </c>
      <c r="O378" s="6" t="str">
        <f t="shared" si="11"/>
        <v>Bob</v>
      </c>
    </row>
    <row r="379" spans="1:15" x14ac:dyDescent="0.3">
      <c r="A379" s="10">
        <v>378</v>
      </c>
      <c r="B379" s="18">
        <v>45304</v>
      </c>
      <c r="C379" s="6" t="s">
        <v>397</v>
      </c>
      <c r="D379" s="6" t="s">
        <v>3</v>
      </c>
      <c r="E379" s="6" t="s">
        <v>19</v>
      </c>
      <c r="F379" s="6">
        <v>49</v>
      </c>
      <c r="G379" s="6" t="s">
        <v>20</v>
      </c>
      <c r="H379" s="6">
        <v>4</v>
      </c>
      <c r="I379" s="6">
        <v>277</v>
      </c>
      <c r="J379" s="11">
        <v>1108</v>
      </c>
      <c r="M379" s="6" t="str" cm="1">
        <f t="array" ref="M379">_xlfn.IFS(J379&lt;=500,"Low",J379&gt;=1500,"Mid",J379&lt;=1500,"High",TRUE,"no")</f>
        <v>High</v>
      </c>
      <c r="N379" s="6">
        <f t="shared" si="10"/>
        <v>7</v>
      </c>
      <c r="O379" s="6" t="str">
        <f t="shared" si="11"/>
        <v>Bob</v>
      </c>
    </row>
    <row r="380" spans="1:15" x14ac:dyDescent="0.3">
      <c r="A380" s="10">
        <v>379</v>
      </c>
      <c r="B380" s="18">
        <v>45305</v>
      </c>
      <c r="C380" s="6" t="s">
        <v>398</v>
      </c>
      <c r="D380" s="6" t="s">
        <v>2</v>
      </c>
      <c r="E380" s="6" t="s">
        <v>19</v>
      </c>
      <c r="F380" s="6">
        <v>55</v>
      </c>
      <c r="G380" s="6" t="s">
        <v>15</v>
      </c>
      <c r="H380" s="6">
        <v>5</v>
      </c>
      <c r="I380" s="6">
        <v>166</v>
      </c>
      <c r="J380" s="11">
        <v>830</v>
      </c>
      <c r="M380" s="6" t="str" cm="1">
        <f t="array" ref="M380">_xlfn.IFS(J380&lt;=500,"Low",J380&gt;=1500,"Mid",J380&lt;=1500,"High",TRUE,"no")</f>
        <v>High</v>
      </c>
      <c r="N380" s="6">
        <f t="shared" si="10"/>
        <v>2</v>
      </c>
      <c r="O380" s="6" t="str">
        <f t="shared" si="11"/>
        <v>Diana</v>
      </c>
    </row>
    <row r="381" spans="1:15" x14ac:dyDescent="0.3">
      <c r="A381" s="10">
        <v>380</v>
      </c>
      <c r="B381" s="18">
        <v>45306</v>
      </c>
      <c r="C381" s="6" t="s">
        <v>399</v>
      </c>
      <c r="D381" s="6" t="s">
        <v>4</v>
      </c>
      <c r="E381" s="6" t="s">
        <v>19</v>
      </c>
      <c r="F381" s="6">
        <v>48</v>
      </c>
      <c r="G381" s="6" t="s">
        <v>27</v>
      </c>
      <c r="H381" s="6">
        <v>2</v>
      </c>
      <c r="I381" s="6">
        <v>74</v>
      </c>
      <c r="J381" s="11">
        <v>148</v>
      </c>
      <c r="M381" s="6" t="str" cm="1">
        <f t="array" ref="M381">_xlfn.IFS(J381&lt;=500,"Low",J381&gt;=1500,"Mid",J381&lt;=1500,"High",TRUE,"no")</f>
        <v>Low</v>
      </c>
      <c r="N381" s="6">
        <f t="shared" si="10"/>
        <v>10</v>
      </c>
      <c r="O381" s="6" t="str">
        <f t="shared" si="11"/>
        <v>Alice</v>
      </c>
    </row>
    <row r="382" spans="1:15" x14ac:dyDescent="0.3">
      <c r="A382" s="10">
        <v>381</v>
      </c>
      <c r="B382" s="18">
        <v>45307</v>
      </c>
      <c r="C382" s="6" t="s">
        <v>400</v>
      </c>
      <c r="D382" s="6" t="s">
        <v>4</v>
      </c>
      <c r="E382" s="6" t="s">
        <v>14</v>
      </c>
      <c r="F382" s="6">
        <v>18</v>
      </c>
      <c r="G382" s="6" t="s">
        <v>27</v>
      </c>
      <c r="H382" s="6">
        <v>4</v>
      </c>
      <c r="I382" s="6">
        <v>60</v>
      </c>
      <c r="J382" s="11">
        <v>240</v>
      </c>
      <c r="M382" s="6" t="str" cm="1">
        <f t="array" ref="M382">_xlfn.IFS(J382&lt;=500,"Low",J382&gt;=1500,"Mid",J382&lt;=1500,"High",TRUE,"no")</f>
        <v>Low</v>
      </c>
      <c r="N382" s="6">
        <f t="shared" si="10"/>
        <v>10</v>
      </c>
      <c r="O382" s="6" t="str">
        <f t="shared" si="11"/>
        <v>Alice</v>
      </c>
    </row>
    <row r="383" spans="1:15" x14ac:dyDescent="0.3">
      <c r="A383" s="10">
        <v>382</v>
      </c>
      <c r="B383" s="18">
        <v>45308</v>
      </c>
      <c r="C383" s="6" t="s">
        <v>401</v>
      </c>
      <c r="D383" s="6" t="s">
        <v>1</v>
      </c>
      <c r="E383" s="6" t="s">
        <v>14</v>
      </c>
      <c r="F383" s="6">
        <v>30</v>
      </c>
      <c r="G383" s="6" t="s">
        <v>17</v>
      </c>
      <c r="H383" s="6">
        <v>5</v>
      </c>
      <c r="I383" s="6">
        <v>387</v>
      </c>
      <c r="J383" s="11">
        <v>1935</v>
      </c>
      <c r="M383" s="6" t="str" cm="1">
        <f t="array" ref="M383">_xlfn.IFS(J383&lt;=500,"Low",J383&gt;=1500,"Mid",J383&lt;=1500,"High",TRUE,"no")</f>
        <v>Mid</v>
      </c>
      <c r="N383" s="6">
        <f t="shared" si="10"/>
        <v>1</v>
      </c>
      <c r="O383" s="6" t="str">
        <f t="shared" si="11"/>
        <v>Charlie</v>
      </c>
    </row>
    <row r="384" spans="1:15" x14ac:dyDescent="0.3">
      <c r="A384" s="10">
        <v>383</v>
      </c>
      <c r="B384" s="18">
        <v>45309</v>
      </c>
      <c r="C384" s="6" t="s">
        <v>402</v>
      </c>
      <c r="D384" s="6" t="s">
        <v>2</v>
      </c>
      <c r="E384" s="6" t="s">
        <v>14</v>
      </c>
      <c r="F384" s="6">
        <v>48</v>
      </c>
      <c r="G384" s="6" t="s">
        <v>23</v>
      </c>
      <c r="H384" s="6">
        <v>1</v>
      </c>
      <c r="I384" s="6">
        <v>25</v>
      </c>
      <c r="J384" s="11">
        <v>25</v>
      </c>
      <c r="M384" s="6" t="str" cm="1">
        <f t="array" ref="M384">_xlfn.IFS(J384&lt;=500,"Low",J384&gt;=1500,"Mid",J384&lt;=1500,"High",TRUE,"no")</f>
        <v>Low</v>
      </c>
      <c r="N384" s="6">
        <f t="shared" si="10"/>
        <v>2</v>
      </c>
      <c r="O384" s="6" t="str">
        <f t="shared" si="11"/>
        <v>Diana</v>
      </c>
    </row>
    <row r="385" spans="1:15" x14ac:dyDescent="0.3">
      <c r="A385" s="10">
        <v>384</v>
      </c>
      <c r="B385" s="18">
        <v>45310</v>
      </c>
      <c r="C385" s="6" t="s">
        <v>403</v>
      </c>
      <c r="D385" s="6" t="s">
        <v>4</v>
      </c>
      <c r="E385" s="6" t="s">
        <v>19</v>
      </c>
      <c r="F385" s="6">
        <v>27</v>
      </c>
      <c r="G385" s="6" t="s">
        <v>17</v>
      </c>
      <c r="H385" s="6">
        <v>3</v>
      </c>
      <c r="I385" s="6">
        <v>73</v>
      </c>
      <c r="J385" s="11">
        <v>219</v>
      </c>
      <c r="M385" s="6" t="str" cm="1">
        <f t="array" ref="M385">_xlfn.IFS(J385&lt;=500,"Low",J385&gt;=1500,"Mid",J385&lt;=1500,"High",TRUE,"no")</f>
        <v>Low</v>
      </c>
      <c r="N385" s="6">
        <f t="shared" si="10"/>
        <v>10</v>
      </c>
      <c r="O385" s="6" t="str">
        <f t="shared" si="11"/>
        <v>Alice</v>
      </c>
    </row>
    <row r="386" spans="1:15" x14ac:dyDescent="0.3">
      <c r="A386" s="10">
        <v>385</v>
      </c>
      <c r="B386" s="18">
        <v>45311</v>
      </c>
      <c r="C386" s="6" t="s">
        <v>404</v>
      </c>
      <c r="D386" s="6" t="s">
        <v>2</v>
      </c>
      <c r="E386" s="6" t="s">
        <v>19</v>
      </c>
      <c r="F386" s="6">
        <v>33</v>
      </c>
      <c r="G386" s="6" t="s">
        <v>20</v>
      </c>
      <c r="H386" s="6">
        <v>5</v>
      </c>
      <c r="I386" s="6">
        <v>467</v>
      </c>
      <c r="J386" s="11">
        <v>2335</v>
      </c>
      <c r="M386" s="6" t="str" cm="1">
        <f t="array" ref="M386">_xlfn.IFS(J386&lt;=500,"Low",J386&gt;=1500,"Mid",J386&lt;=1500,"High",TRUE,"no")</f>
        <v>Mid</v>
      </c>
      <c r="N386" s="6">
        <f t="shared" si="10"/>
        <v>2</v>
      </c>
      <c r="O386" s="6" t="str">
        <f t="shared" si="11"/>
        <v>Diana</v>
      </c>
    </row>
    <row r="387" spans="1:15" x14ac:dyDescent="0.3">
      <c r="A387" s="10">
        <v>386</v>
      </c>
      <c r="B387" s="18">
        <v>45312</v>
      </c>
      <c r="C387" s="6" t="s">
        <v>405</v>
      </c>
      <c r="D387" s="6" t="s">
        <v>4</v>
      </c>
      <c r="E387" s="6" t="s">
        <v>14</v>
      </c>
      <c r="F387" s="6">
        <v>21</v>
      </c>
      <c r="G387" s="6" t="s">
        <v>17</v>
      </c>
      <c r="H387" s="6">
        <v>1</v>
      </c>
      <c r="I387" s="6">
        <v>286</v>
      </c>
      <c r="J387" s="11">
        <v>286</v>
      </c>
      <c r="M387" s="6" t="str" cm="1">
        <f t="array" ref="M387">_xlfn.IFS(J387&lt;=500,"Low",J387&gt;=1500,"Mid",J387&lt;=1500,"High",TRUE,"no")</f>
        <v>Low</v>
      </c>
      <c r="N387" s="6">
        <f t="shared" ref="N387:N450" si="12">MATCH(D387,$D$2:$D$1001,0)</f>
        <v>10</v>
      </c>
      <c r="O387" s="6" t="str">
        <f t="shared" ref="O387:O450" si="13">INDEX(D387:D1386,MATCH($D$2,$D$2:$D$1001,0))</f>
        <v>Alice</v>
      </c>
    </row>
    <row r="388" spans="1:15" x14ac:dyDescent="0.3">
      <c r="A388" s="10">
        <v>387</v>
      </c>
      <c r="B388" s="18">
        <v>45313</v>
      </c>
      <c r="C388" s="6" t="s">
        <v>406</v>
      </c>
      <c r="D388" s="6" t="s">
        <v>2</v>
      </c>
      <c r="E388" s="6" t="s">
        <v>19</v>
      </c>
      <c r="F388" s="6">
        <v>42</v>
      </c>
      <c r="G388" s="6" t="s">
        <v>27</v>
      </c>
      <c r="H388" s="6">
        <v>2</v>
      </c>
      <c r="I388" s="6">
        <v>443</v>
      </c>
      <c r="J388" s="11">
        <v>886</v>
      </c>
      <c r="M388" s="6" t="str" cm="1">
        <f t="array" ref="M388">_xlfn.IFS(J388&lt;=500,"Low",J388&gt;=1500,"Mid",J388&lt;=1500,"High",TRUE,"no")</f>
        <v>High</v>
      </c>
      <c r="N388" s="6">
        <f t="shared" si="12"/>
        <v>2</v>
      </c>
      <c r="O388" s="6" t="str">
        <f t="shared" si="13"/>
        <v>Diana</v>
      </c>
    </row>
    <row r="389" spans="1:15" x14ac:dyDescent="0.3">
      <c r="A389" s="10">
        <v>388</v>
      </c>
      <c r="B389" s="18">
        <v>45314</v>
      </c>
      <c r="C389" s="6" t="s">
        <v>407</v>
      </c>
      <c r="D389" s="6" t="s">
        <v>1</v>
      </c>
      <c r="E389" s="6" t="s">
        <v>19</v>
      </c>
      <c r="F389" s="6">
        <v>54</v>
      </c>
      <c r="G389" s="6" t="s">
        <v>23</v>
      </c>
      <c r="H389" s="6">
        <v>1</v>
      </c>
      <c r="I389" s="6">
        <v>48</v>
      </c>
      <c r="J389" s="11">
        <v>48</v>
      </c>
      <c r="M389" s="6" t="str" cm="1">
        <f t="array" ref="M389">_xlfn.IFS(J389&lt;=500,"Low",J389&gt;=1500,"Mid",J389&lt;=1500,"High",TRUE,"no")</f>
        <v>Low</v>
      </c>
      <c r="N389" s="6">
        <f t="shared" si="12"/>
        <v>1</v>
      </c>
      <c r="O389" s="6" t="str">
        <f t="shared" si="13"/>
        <v>Charlie</v>
      </c>
    </row>
    <row r="390" spans="1:15" x14ac:dyDescent="0.3">
      <c r="A390" s="10">
        <v>389</v>
      </c>
      <c r="B390" s="18">
        <v>45315</v>
      </c>
      <c r="C390" s="6" t="s">
        <v>408</v>
      </c>
      <c r="D390" s="6" t="s">
        <v>3</v>
      </c>
      <c r="E390" s="6" t="s">
        <v>14</v>
      </c>
      <c r="F390" s="6">
        <v>38</v>
      </c>
      <c r="G390" s="6" t="s">
        <v>15</v>
      </c>
      <c r="H390" s="6">
        <v>5</v>
      </c>
      <c r="I390" s="6">
        <v>397</v>
      </c>
      <c r="J390" s="11">
        <v>1985</v>
      </c>
      <c r="M390" s="6" t="str" cm="1">
        <f t="array" ref="M390">_xlfn.IFS(J390&lt;=500,"Low",J390&gt;=1500,"Mid",J390&lt;=1500,"High",TRUE,"no")</f>
        <v>Mid</v>
      </c>
      <c r="N390" s="6">
        <f t="shared" si="12"/>
        <v>7</v>
      </c>
      <c r="O390" s="6" t="str">
        <f t="shared" si="13"/>
        <v>Bob</v>
      </c>
    </row>
    <row r="391" spans="1:15" x14ac:dyDescent="0.3">
      <c r="A391" s="10">
        <v>390</v>
      </c>
      <c r="B391" s="18">
        <v>45316</v>
      </c>
      <c r="C391" s="6" t="s">
        <v>409</v>
      </c>
      <c r="D391" s="6" t="s">
        <v>1</v>
      </c>
      <c r="E391" s="6" t="s">
        <v>19</v>
      </c>
      <c r="F391" s="6">
        <v>22</v>
      </c>
      <c r="G391" s="6" t="s">
        <v>15</v>
      </c>
      <c r="H391" s="6">
        <v>2</v>
      </c>
      <c r="I391" s="6">
        <v>118</v>
      </c>
      <c r="J391" s="11">
        <v>236</v>
      </c>
      <c r="M391" s="6" t="str" cm="1">
        <f t="array" ref="M391">_xlfn.IFS(J391&lt;=500,"Low",J391&gt;=1500,"Mid",J391&lt;=1500,"High",TRUE,"no")</f>
        <v>Low</v>
      </c>
      <c r="N391" s="6">
        <f t="shared" si="12"/>
        <v>1</v>
      </c>
      <c r="O391" s="6" t="str">
        <f t="shared" si="13"/>
        <v>Charlie</v>
      </c>
    </row>
    <row r="392" spans="1:15" x14ac:dyDescent="0.3">
      <c r="A392" s="10">
        <v>391</v>
      </c>
      <c r="B392" s="18">
        <v>45317</v>
      </c>
      <c r="C392" s="6" t="s">
        <v>410</v>
      </c>
      <c r="D392" s="6" t="s">
        <v>4</v>
      </c>
      <c r="E392" s="6" t="s">
        <v>19</v>
      </c>
      <c r="F392" s="6">
        <v>18</v>
      </c>
      <c r="G392" s="6" t="s">
        <v>20</v>
      </c>
      <c r="H392" s="6">
        <v>2</v>
      </c>
      <c r="I392" s="6">
        <v>105</v>
      </c>
      <c r="J392" s="11">
        <v>210</v>
      </c>
      <c r="M392" s="6" t="str" cm="1">
        <f t="array" ref="M392">_xlfn.IFS(J392&lt;=500,"Low",J392&gt;=1500,"Mid",J392&lt;=1500,"High",TRUE,"no")</f>
        <v>Low</v>
      </c>
      <c r="N392" s="6">
        <f t="shared" si="12"/>
        <v>10</v>
      </c>
      <c r="O392" s="6" t="str">
        <f t="shared" si="13"/>
        <v>Alice</v>
      </c>
    </row>
    <row r="393" spans="1:15" x14ac:dyDescent="0.3">
      <c r="A393" s="10">
        <v>392</v>
      </c>
      <c r="B393" s="18">
        <v>45318</v>
      </c>
      <c r="C393" s="6" t="s">
        <v>411</v>
      </c>
      <c r="D393" s="6" t="s">
        <v>1</v>
      </c>
      <c r="E393" s="6" t="s">
        <v>19</v>
      </c>
      <c r="F393" s="6">
        <v>50</v>
      </c>
      <c r="G393" s="6" t="s">
        <v>20</v>
      </c>
      <c r="H393" s="6">
        <v>5</v>
      </c>
      <c r="I393" s="6">
        <v>417</v>
      </c>
      <c r="J393" s="11">
        <v>2085</v>
      </c>
      <c r="M393" s="6" t="str" cm="1">
        <f t="array" ref="M393">_xlfn.IFS(J393&lt;=500,"Low",J393&gt;=1500,"Mid",J393&lt;=1500,"High",TRUE,"no")</f>
        <v>Mid</v>
      </c>
      <c r="N393" s="6">
        <f t="shared" si="12"/>
        <v>1</v>
      </c>
      <c r="O393" s="6" t="str">
        <f t="shared" si="13"/>
        <v>Charlie</v>
      </c>
    </row>
    <row r="394" spans="1:15" x14ac:dyDescent="0.3">
      <c r="A394" s="10">
        <v>393</v>
      </c>
      <c r="B394" s="18">
        <v>45319</v>
      </c>
      <c r="C394" s="6" t="s">
        <v>412</v>
      </c>
      <c r="D394" s="6" t="s">
        <v>3</v>
      </c>
      <c r="E394" s="6" t="s">
        <v>19</v>
      </c>
      <c r="F394" s="6">
        <v>30</v>
      </c>
      <c r="G394" s="6" t="s">
        <v>17</v>
      </c>
      <c r="H394" s="6">
        <v>3</v>
      </c>
      <c r="I394" s="6">
        <v>292</v>
      </c>
      <c r="J394" s="11">
        <v>876</v>
      </c>
      <c r="M394" s="6" t="str" cm="1">
        <f t="array" ref="M394">_xlfn.IFS(J394&lt;=500,"Low",J394&gt;=1500,"Mid",J394&lt;=1500,"High",TRUE,"no")</f>
        <v>High</v>
      </c>
      <c r="N394" s="6">
        <f t="shared" si="12"/>
        <v>7</v>
      </c>
      <c r="O394" s="6" t="str">
        <f t="shared" si="13"/>
        <v>Bob</v>
      </c>
    </row>
    <row r="395" spans="1:15" x14ac:dyDescent="0.3">
      <c r="A395" s="10">
        <v>394</v>
      </c>
      <c r="B395" s="18">
        <v>45320</v>
      </c>
      <c r="C395" s="6" t="s">
        <v>413</v>
      </c>
      <c r="D395" s="6" t="s">
        <v>1</v>
      </c>
      <c r="E395" s="6" t="s">
        <v>14</v>
      </c>
      <c r="F395" s="6">
        <v>22</v>
      </c>
      <c r="G395" s="6" t="s">
        <v>17</v>
      </c>
      <c r="H395" s="6">
        <v>2</v>
      </c>
      <c r="I395" s="6">
        <v>158</v>
      </c>
      <c r="J395" s="11">
        <v>316</v>
      </c>
      <c r="M395" s="6" t="str" cm="1">
        <f t="array" ref="M395">_xlfn.IFS(J395&lt;=500,"Low",J395&gt;=1500,"Mid",J395&lt;=1500,"High",TRUE,"no")</f>
        <v>Low</v>
      </c>
      <c r="N395" s="6">
        <f t="shared" si="12"/>
        <v>1</v>
      </c>
      <c r="O395" s="6" t="str">
        <f t="shared" si="13"/>
        <v>Charlie</v>
      </c>
    </row>
    <row r="396" spans="1:15" x14ac:dyDescent="0.3">
      <c r="A396" s="10">
        <v>395</v>
      </c>
      <c r="B396" s="18">
        <v>45321</v>
      </c>
      <c r="C396" s="6" t="s">
        <v>414</v>
      </c>
      <c r="D396" s="6" t="s">
        <v>4</v>
      </c>
      <c r="E396" s="6" t="s">
        <v>19</v>
      </c>
      <c r="F396" s="6">
        <v>52</v>
      </c>
      <c r="G396" s="6" t="s">
        <v>17</v>
      </c>
      <c r="H396" s="6">
        <v>2</v>
      </c>
      <c r="I396" s="6">
        <v>88</v>
      </c>
      <c r="J396" s="11">
        <v>176</v>
      </c>
      <c r="M396" s="6" t="str" cm="1">
        <f t="array" ref="M396">_xlfn.IFS(J396&lt;=500,"Low",J396&gt;=1500,"Mid",J396&lt;=1500,"High",TRUE,"no")</f>
        <v>Low</v>
      </c>
      <c r="N396" s="6">
        <f t="shared" si="12"/>
        <v>10</v>
      </c>
      <c r="O396" s="6" t="str">
        <f t="shared" si="13"/>
        <v>Alice</v>
      </c>
    </row>
    <row r="397" spans="1:15" x14ac:dyDescent="0.3">
      <c r="A397" s="10">
        <v>396</v>
      </c>
      <c r="B397" s="18">
        <v>45322</v>
      </c>
      <c r="C397" s="6" t="s">
        <v>415</v>
      </c>
      <c r="D397" s="6" t="s">
        <v>4</v>
      </c>
      <c r="E397" s="6" t="s">
        <v>19</v>
      </c>
      <c r="F397" s="6">
        <v>41</v>
      </c>
      <c r="G397" s="6" t="s">
        <v>23</v>
      </c>
      <c r="H397" s="6">
        <v>2</v>
      </c>
      <c r="I397" s="6">
        <v>178</v>
      </c>
      <c r="J397" s="11">
        <v>356</v>
      </c>
      <c r="M397" s="6" t="str" cm="1">
        <f t="array" ref="M397">_xlfn.IFS(J397&lt;=500,"Low",J397&gt;=1500,"Mid",J397&lt;=1500,"High",TRUE,"no")</f>
        <v>Low</v>
      </c>
      <c r="N397" s="6">
        <f t="shared" si="12"/>
        <v>10</v>
      </c>
      <c r="O397" s="6" t="str">
        <f t="shared" si="13"/>
        <v>Alice</v>
      </c>
    </row>
    <row r="398" spans="1:15" x14ac:dyDescent="0.3">
      <c r="A398" s="10">
        <v>397</v>
      </c>
      <c r="B398" s="18">
        <v>45323</v>
      </c>
      <c r="C398" s="6" t="s">
        <v>416</v>
      </c>
      <c r="D398" s="6" t="s">
        <v>1</v>
      </c>
      <c r="E398" s="6" t="s">
        <v>19</v>
      </c>
      <c r="F398" s="6">
        <v>34</v>
      </c>
      <c r="G398" s="6" t="s">
        <v>23</v>
      </c>
      <c r="H398" s="6">
        <v>5</v>
      </c>
      <c r="I398" s="6">
        <v>449</v>
      </c>
      <c r="J398" s="11">
        <v>2245</v>
      </c>
      <c r="M398" s="6" t="str" cm="1">
        <f t="array" ref="M398">_xlfn.IFS(J398&lt;=500,"Low",J398&gt;=1500,"Mid",J398&lt;=1500,"High",TRUE,"no")</f>
        <v>Mid</v>
      </c>
      <c r="N398" s="6">
        <f t="shared" si="12"/>
        <v>1</v>
      </c>
      <c r="O398" s="6" t="str">
        <f t="shared" si="13"/>
        <v>Charlie</v>
      </c>
    </row>
    <row r="399" spans="1:15" x14ac:dyDescent="0.3">
      <c r="A399" s="10">
        <v>398</v>
      </c>
      <c r="B399" s="18">
        <v>45324</v>
      </c>
      <c r="C399" s="6" t="s">
        <v>417</v>
      </c>
      <c r="D399" s="6" t="s">
        <v>3</v>
      </c>
      <c r="E399" s="6" t="s">
        <v>19</v>
      </c>
      <c r="F399" s="6">
        <v>58</v>
      </c>
      <c r="G399" s="6" t="s">
        <v>27</v>
      </c>
      <c r="H399" s="6">
        <v>3</v>
      </c>
      <c r="I399" s="6">
        <v>207</v>
      </c>
      <c r="J399" s="11">
        <v>621</v>
      </c>
      <c r="M399" s="6" t="str" cm="1">
        <f t="array" ref="M399">_xlfn.IFS(J399&lt;=500,"Low",J399&gt;=1500,"Mid",J399&lt;=1500,"High",TRUE,"no")</f>
        <v>High</v>
      </c>
      <c r="N399" s="6">
        <f t="shared" si="12"/>
        <v>7</v>
      </c>
      <c r="O399" s="6" t="str">
        <f t="shared" si="13"/>
        <v>Bob</v>
      </c>
    </row>
    <row r="400" spans="1:15" x14ac:dyDescent="0.3">
      <c r="A400" s="10">
        <v>399</v>
      </c>
      <c r="B400" s="18">
        <v>45325</v>
      </c>
      <c r="C400" s="6" t="s">
        <v>418</v>
      </c>
      <c r="D400" s="6" t="s">
        <v>1</v>
      </c>
      <c r="E400" s="6" t="s">
        <v>19</v>
      </c>
      <c r="F400" s="6">
        <v>28</v>
      </c>
      <c r="G400" s="6" t="s">
        <v>17</v>
      </c>
      <c r="H400" s="6">
        <v>3</v>
      </c>
      <c r="I400" s="6">
        <v>180</v>
      </c>
      <c r="J400" s="11">
        <v>540</v>
      </c>
      <c r="M400" s="6" t="str" cm="1">
        <f t="array" ref="M400">_xlfn.IFS(J400&lt;=500,"Low",J400&gt;=1500,"Mid",J400&lt;=1500,"High",TRUE,"no")</f>
        <v>High</v>
      </c>
      <c r="N400" s="6">
        <f t="shared" si="12"/>
        <v>1</v>
      </c>
      <c r="O400" s="6" t="str">
        <f t="shared" si="13"/>
        <v>Charlie</v>
      </c>
    </row>
    <row r="401" spans="1:15" x14ac:dyDescent="0.3">
      <c r="A401" s="10">
        <v>400</v>
      </c>
      <c r="B401" s="18">
        <v>45326</v>
      </c>
      <c r="C401" s="6" t="s">
        <v>419</v>
      </c>
      <c r="D401" s="6" t="s">
        <v>3</v>
      </c>
      <c r="E401" s="6" t="s">
        <v>19</v>
      </c>
      <c r="F401" s="6">
        <v>19</v>
      </c>
      <c r="G401" s="6" t="s">
        <v>20</v>
      </c>
      <c r="H401" s="6">
        <v>4</v>
      </c>
      <c r="I401" s="6">
        <v>496</v>
      </c>
      <c r="J401" s="11">
        <v>1984</v>
      </c>
      <c r="M401" s="6" t="str" cm="1">
        <f t="array" ref="M401">_xlfn.IFS(J401&lt;=500,"Low",J401&gt;=1500,"Mid",J401&lt;=1500,"High",TRUE,"no")</f>
        <v>Mid</v>
      </c>
      <c r="N401" s="6">
        <f t="shared" si="12"/>
        <v>7</v>
      </c>
      <c r="O401" s="6" t="str">
        <f t="shared" si="13"/>
        <v>Bob</v>
      </c>
    </row>
    <row r="402" spans="1:15" x14ac:dyDescent="0.3">
      <c r="A402" s="10">
        <v>401</v>
      </c>
      <c r="B402" s="18">
        <v>45327</v>
      </c>
      <c r="C402" s="6" t="s">
        <v>420</v>
      </c>
      <c r="D402" s="6" t="s">
        <v>2</v>
      </c>
      <c r="E402" s="6" t="s">
        <v>14</v>
      </c>
      <c r="F402" s="6">
        <v>27</v>
      </c>
      <c r="G402" s="6" t="s">
        <v>23</v>
      </c>
      <c r="H402" s="6">
        <v>4</v>
      </c>
      <c r="I402" s="6">
        <v>308</v>
      </c>
      <c r="J402" s="11">
        <v>1232</v>
      </c>
      <c r="M402" s="6" t="str" cm="1">
        <f t="array" ref="M402">_xlfn.IFS(J402&lt;=500,"Low",J402&gt;=1500,"Mid",J402&lt;=1500,"High",TRUE,"no")</f>
        <v>High</v>
      </c>
      <c r="N402" s="6">
        <f t="shared" si="12"/>
        <v>2</v>
      </c>
      <c r="O402" s="6" t="str">
        <f t="shared" si="13"/>
        <v>Diana</v>
      </c>
    </row>
    <row r="403" spans="1:15" x14ac:dyDescent="0.3">
      <c r="A403" s="10">
        <v>402</v>
      </c>
      <c r="B403" s="18">
        <v>45328</v>
      </c>
      <c r="C403" s="6" t="s">
        <v>421</v>
      </c>
      <c r="D403" s="6" t="s">
        <v>3</v>
      </c>
      <c r="E403" s="6" t="s">
        <v>14</v>
      </c>
      <c r="F403" s="6">
        <v>50</v>
      </c>
      <c r="G403" s="6" t="s">
        <v>20</v>
      </c>
      <c r="H403" s="6">
        <v>4</v>
      </c>
      <c r="I403" s="6">
        <v>487</v>
      </c>
      <c r="J403" s="11">
        <v>1948</v>
      </c>
      <c r="M403" s="6" t="str" cm="1">
        <f t="array" ref="M403">_xlfn.IFS(J403&lt;=500,"Low",J403&gt;=1500,"Mid",J403&lt;=1500,"High",TRUE,"no")</f>
        <v>Mid</v>
      </c>
      <c r="N403" s="6">
        <f t="shared" si="12"/>
        <v>7</v>
      </c>
      <c r="O403" s="6" t="str">
        <f t="shared" si="13"/>
        <v>Bob</v>
      </c>
    </row>
    <row r="404" spans="1:15" x14ac:dyDescent="0.3">
      <c r="A404" s="10">
        <v>403</v>
      </c>
      <c r="B404" s="18">
        <v>45329</v>
      </c>
      <c r="C404" s="6" t="s">
        <v>422</v>
      </c>
      <c r="D404" s="6" t="s">
        <v>2</v>
      </c>
      <c r="E404" s="6" t="s">
        <v>19</v>
      </c>
      <c r="F404" s="6">
        <v>54</v>
      </c>
      <c r="G404" s="6" t="s">
        <v>15</v>
      </c>
      <c r="H404" s="6">
        <v>3</v>
      </c>
      <c r="I404" s="6">
        <v>445</v>
      </c>
      <c r="J404" s="11">
        <v>1335</v>
      </c>
      <c r="M404" s="6" t="str" cm="1">
        <f t="array" ref="M404">_xlfn.IFS(J404&lt;=500,"Low",J404&gt;=1500,"Mid",J404&lt;=1500,"High",TRUE,"no")</f>
        <v>High</v>
      </c>
      <c r="N404" s="6">
        <f t="shared" si="12"/>
        <v>2</v>
      </c>
      <c r="O404" s="6" t="str">
        <f t="shared" si="13"/>
        <v>Diana</v>
      </c>
    </row>
    <row r="405" spans="1:15" x14ac:dyDescent="0.3">
      <c r="A405" s="10">
        <v>404</v>
      </c>
      <c r="B405" s="18">
        <v>45330</v>
      </c>
      <c r="C405" s="6" t="s">
        <v>423</v>
      </c>
      <c r="D405" s="6" t="s">
        <v>1</v>
      </c>
      <c r="E405" s="6" t="s">
        <v>14</v>
      </c>
      <c r="F405" s="6">
        <v>24</v>
      </c>
      <c r="G405" s="6" t="s">
        <v>23</v>
      </c>
      <c r="H405" s="6">
        <v>5</v>
      </c>
      <c r="I405" s="6">
        <v>184</v>
      </c>
      <c r="J405" s="11">
        <v>920</v>
      </c>
      <c r="M405" s="6" t="str" cm="1">
        <f t="array" ref="M405">_xlfn.IFS(J405&lt;=500,"Low",J405&gt;=1500,"Mid",J405&lt;=1500,"High",TRUE,"no")</f>
        <v>High</v>
      </c>
      <c r="N405" s="6">
        <f t="shared" si="12"/>
        <v>1</v>
      </c>
      <c r="O405" s="6" t="str">
        <f t="shared" si="13"/>
        <v>Charlie</v>
      </c>
    </row>
    <row r="406" spans="1:15" x14ac:dyDescent="0.3">
      <c r="A406" s="10">
        <v>405</v>
      </c>
      <c r="B406" s="18">
        <v>45331</v>
      </c>
      <c r="C406" s="6" t="s">
        <v>424</v>
      </c>
      <c r="D406" s="6" t="s">
        <v>3</v>
      </c>
      <c r="E406" s="6" t="s">
        <v>14</v>
      </c>
      <c r="F406" s="6">
        <v>21</v>
      </c>
      <c r="G406" s="6" t="s">
        <v>20</v>
      </c>
      <c r="H406" s="6">
        <v>3</v>
      </c>
      <c r="I406" s="6">
        <v>45</v>
      </c>
      <c r="J406" s="11">
        <v>135</v>
      </c>
      <c r="M406" s="6" t="str" cm="1">
        <f t="array" ref="M406">_xlfn.IFS(J406&lt;=500,"Low",J406&gt;=1500,"Mid",J406&lt;=1500,"High",TRUE,"no")</f>
        <v>Low</v>
      </c>
      <c r="N406" s="6">
        <f t="shared" si="12"/>
        <v>7</v>
      </c>
      <c r="O406" s="6" t="str">
        <f t="shared" si="13"/>
        <v>Bob</v>
      </c>
    </row>
    <row r="407" spans="1:15" x14ac:dyDescent="0.3">
      <c r="A407" s="10">
        <v>406</v>
      </c>
      <c r="B407" s="18">
        <v>45332</v>
      </c>
      <c r="C407" s="6" t="s">
        <v>425</v>
      </c>
      <c r="D407" s="6" t="s">
        <v>2</v>
      </c>
      <c r="E407" s="6" t="s">
        <v>14</v>
      </c>
      <c r="F407" s="6">
        <v>34</v>
      </c>
      <c r="G407" s="6" t="s">
        <v>23</v>
      </c>
      <c r="H407" s="6">
        <v>1</v>
      </c>
      <c r="I407" s="6">
        <v>276</v>
      </c>
      <c r="J407" s="11">
        <v>276</v>
      </c>
      <c r="M407" s="6" t="str" cm="1">
        <f t="array" ref="M407">_xlfn.IFS(J407&lt;=500,"Low",J407&gt;=1500,"Mid",J407&lt;=1500,"High",TRUE,"no")</f>
        <v>Low</v>
      </c>
      <c r="N407" s="6">
        <f t="shared" si="12"/>
        <v>2</v>
      </c>
      <c r="O407" s="6" t="str">
        <f t="shared" si="13"/>
        <v>Diana</v>
      </c>
    </row>
    <row r="408" spans="1:15" x14ac:dyDescent="0.3">
      <c r="A408" s="10">
        <v>407</v>
      </c>
      <c r="B408" s="18">
        <v>45333</v>
      </c>
      <c r="C408" s="6" t="s">
        <v>426</v>
      </c>
      <c r="D408" s="6" t="s">
        <v>2</v>
      </c>
      <c r="E408" s="6" t="s">
        <v>19</v>
      </c>
      <c r="F408" s="6">
        <v>28</v>
      </c>
      <c r="G408" s="6" t="s">
        <v>17</v>
      </c>
      <c r="H408" s="6">
        <v>1</v>
      </c>
      <c r="I408" s="6">
        <v>438</v>
      </c>
      <c r="J408" s="11">
        <v>438</v>
      </c>
      <c r="M408" s="6" t="str" cm="1">
        <f t="array" ref="M408">_xlfn.IFS(J408&lt;=500,"Low",J408&gt;=1500,"Mid",J408&lt;=1500,"High",TRUE,"no")</f>
        <v>Low</v>
      </c>
      <c r="N408" s="6">
        <f t="shared" si="12"/>
        <v>2</v>
      </c>
      <c r="O408" s="6" t="str">
        <f t="shared" si="13"/>
        <v>Diana</v>
      </c>
    </row>
    <row r="409" spans="1:15" x14ac:dyDescent="0.3">
      <c r="A409" s="10">
        <v>408</v>
      </c>
      <c r="B409" s="18">
        <v>45334</v>
      </c>
      <c r="C409" s="6" t="s">
        <v>427</v>
      </c>
      <c r="D409" s="6" t="s">
        <v>2</v>
      </c>
      <c r="E409" s="6" t="s">
        <v>14</v>
      </c>
      <c r="F409" s="6">
        <v>49</v>
      </c>
      <c r="G409" s="6" t="s">
        <v>15</v>
      </c>
      <c r="H409" s="6">
        <v>3</v>
      </c>
      <c r="I409" s="6">
        <v>283</v>
      </c>
      <c r="J409" s="11">
        <v>849</v>
      </c>
      <c r="M409" s="6" t="str" cm="1">
        <f t="array" ref="M409">_xlfn.IFS(J409&lt;=500,"Low",J409&gt;=1500,"Mid",J409&lt;=1500,"High",TRUE,"no")</f>
        <v>High</v>
      </c>
      <c r="N409" s="6">
        <f t="shared" si="12"/>
        <v>2</v>
      </c>
      <c r="O409" s="6" t="str">
        <f t="shared" si="13"/>
        <v>Diana</v>
      </c>
    </row>
    <row r="410" spans="1:15" x14ac:dyDescent="0.3">
      <c r="A410" s="10">
        <v>409</v>
      </c>
      <c r="B410" s="18">
        <v>45335</v>
      </c>
      <c r="C410" s="6" t="s">
        <v>428</v>
      </c>
      <c r="D410" s="6" t="s">
        <v>4</v>
      </c>
      <c r="E410" s="6" t="s">
        <v>14</v>
      </c>
      <c r="F410" s="6">
        <v>38</v>
      </c>
      <c r="G410" s="6" t="s">
        <v>27</v>
      </c>
      <c r="H410" s="6">
        <v>5</v>
      </c>
      <c r="I410" s="6">
        <v>356</v>
      </c>
      <c r="J410" s="11">
        <v>1780</v>
      </c>
      <c r="M410" s="6" t="str" cm="1">
        <f t="array" ref="M410">_xlfn.IFS(J410&lt;=500,"Low",J410&gt;=1500,"Mid",J410&lt;=1500,"High",TRUE,"no")</f>
        <v>Mid</v>
      </c>
      <c r="N410" s="6">
        <f t="shared" si="12"/>
        <v>10</v>
      </c>
      <c r="O410" s="6" t="str">
        <f t="shared" si="13"/>
        <v>Alice</v>
      </c>
    </row>
    <row r="411" spans="1:15" x14ac:dyDescent="0.3">
      <c r="A411" s="10">
        <v>410</v>
      </c>
      <c r="B411" s="18">
        <v>45336</v>
      </c>
      <c r="C411" s="6" t="s">
        <v>429</v>
      </c>
      <c r="D411" s="6" t="s">
        <v>1</v>
      </c>
      <c r="E411" s="6" t="s">
        <v>14</v>
      </c>
      <c r="F411" s="6">
        <v>49</v>
      </c>
      <c r="G411" s="6" t="s">
        <v>17</v>
      </c>
      <c r="H411" s="6">
        <v>5</v>
      </c>
      <c r="I411" s="6">
        <v>499</v>
      </c>
      <c r="J411" s="11">
        <v>2495</v>
      </c>
      <c r="M411" s="6" t="str" cm="1">
        <f t="array" ref="M411">_xlfn.IFS(J411&lt;=500,"Low",J411&gt;=1500,"Mid",J411&lt;=1500,"High",TRUE,"no")</f>
        <v>Mid</v>
      </c>
      <c r="N411" s="6">
        <f t="shared" si="12"/>
        <v>1</v>
      </c>
      <c r="O411" s="6" t="str">
        <f t="shared" si="13"/>
        <v>Charlie</v>
      </c>
    </row>
    <row r="412" spans="1:15" x14ac:dyDescent="0.3">
      <c r="A412" s="10">
        <v>411</v>
      </c>
      <c r="B412" s="18">
        <v>45337</v>
      </c>
      <c r="C412" s="6" t="s">
        <v>430</v>
      </c>
      <c r="D412" s="6" t="s">
        <v>2</v>
      </c>
      <c r="E412" s="6" t="s">
        <v>19</v>
      </c>
      <c r="F412" s="6">
        <v>48</v>
      </c>
      <c r="G412" s="6" t="s">
        <v>20</v>
      </c>
      <c r="H412" s="6">
        <v>2</v>
      </c>
      <c r="I412" s="6">
        <v>215</v>
      </c>
      <c r="J412" s="11">
        <v>430</v>
      </c>
      <c r="M412" s="6" t="str" cm="1">
        <f t="array" ref="M412">_xlfn.IFS(J412&lt;=500,"Low",J412&gt;=1500,"Mid",J412&lt;=1500,"High",TRUE,"no")</f>
        <v>Low</v>
      </c>
      <c r="N412" s="6">
        <f t="shared" si="12"/>
        <v>2</v>
      </c>
      <c r="O412" s="6" t="str">
        <f t="shared" si="13"/>
        <v>Diana</v>
      </c>
    </row>
    <row r="413" spans="1:15" x14ac:dyDescent="0.3">
      <c r="A413" s="10">
        <v>412</v>
      </c>
      <c r="B413" s="18">
        <v>45338</v>
      </c>
      <c r="C413" s="6" t="s">
        <v>431</v>
      </c>
      <c r="D413" s="6" t="s">
        <v>3</v>
      </c>
      <c r="E413" s="6" t="s">
        <v>14</v>
      </c>
      <c r="F413" s="6">
        <v>60</v>
      </c>
      <c r="G413" s="6" t="s">
        <v>27</v>
      </c>
      <c r="H413" s="6">
        <v>2</v>
      </c>
      <c r="I413" s="6">
        <v>158</v>
      </c>
      <c r="J413" s="11">
        <v>316</v>
      </c>
      <c r="M413" s="6" t="str" cm="1">
        <f t="array" ref="M413">_xlfn.IFS(J413&lt;=500,"Low",J413&gt;=1500,"Mid",J413&lt;=1500,"High",TRUE,"no")</f>
        <v>Low</v>
      </c>
      <c r="N413" s="6">
        <f t="shared" si="12"/>
        <v>7</v>
      </c>
      <c r="O413" s="6" t="str">
        <f t="shared" si="13"/>
        <v>Bob</v>
      </c>
    </row>
    <row r="414" spans="1:15" x14ac:dyDescent="0.3">
      <c r="A414" s="10">
        <v>413</v>
      </c>
      <c r="B414" s="18">
        <v>45339</v>
      </c>
      <c r="C414" s="6" t="s">
        <v>432</v>
      </c>
      <c r="D414" s="6" t="s">
        <v>2</v>
      </c>
      <c r="E414" s="6" t="s">
        <v>19</v>
      </c>
      <c r="F414" s="6">
        <v>28</v>
      </c>
      <c r="G414" s="6" t="s">
        <v>27</v>
      </c>
      <c r="H414" s="6">
        <v>4</v>
      </c>
      <c r="I414" s="6">
        <v>246</v>
      </c>
      <c r="J414" s="11">
        <v>984</v>
      </c>
      <c r="M414" s="6" t="str" cm="1">
        <f t="array" ref="M414">_xlfn.IFS(J414&lt;=500,"Low",J414&gt;=1500,"Mid",J414&lt;=1500,"High",TRUE,"no")</f>
        <v>High</v>
      </c>
      <c r="N414" s="6">
        <f t="shared" si="12"/>
        <v>2</v>
      </c>
      <c r="O414" s="6" t="str">
        <f t="shared" si="13"/>
        <v>Diana</v>
      </c>
    </row>
    <row r="415" spans="1:15" x14ac:dyDescent="0.3">
      <c r="A415" s="10">
        <v>414</v>
      </c>
      <c r="B415" s="18">
        <v>45340</v>
      </c>
      <c r="C415" s="6" t="s">
        <v>433</v>
      </c>
      <c r="D415" s="6" t="s">
        <v>4</v>
      </c>
      <c r="E415" s="6" t="s">
        <v>19</v>
      </c>
      <c r="F415" s="6">
        <v>40</v>
      </c>
      <c r="G415" s="6" t="s">
        <v>17</v>
      </c>
      <c r="H415" s="6">
        <v>2</v>
      </c>
      <c r="I415" s="6">
        <v>155</v>
      </c>
      <c r="J415" s="11">
        <v>310</v>
      </c>
      <c r="M415" s="6" t="str" cm="1">
        <f t="array" ref="M415">_xlfn.IFS(J415&lt;=500,"Low",J415&gt;=1500,"Mid",J415&lt;=1500,"High",TRUE,"no")</f>
        <v>Low</v>
      </c>
      <c r="N415" s="6">
        <f t="shared" si="12"/>
        <v>10</v>
      </c>
      <c r="O415" s="6" t="str">
        <f t="shared" si="13"/>
        <v>Alice</v>
      </c>
    </row>
    <row r="416" spans="1:15" x14ac:dyDescent="0.3">
      <c r="A416" s="10">
        <v>415</v>
      </c>
      <c r="B416" s="18">
        <v>45341</v>
      </c>
      <c r="C416" s="6" t="s">
        <v>434</v>
      </c>
      <c r="D416" s="6" t="s">
        <v>1</v>
      </c>
      <c r="E416" s="6" t="s">
        <v>19</v>
      </c>
      <c r="F416" s="6">
        <v>19</v>
      </c>
      <c r="G416" s="6" t="s">
        <v>23</v>
      </c>
      <c r="H416" s="6">
        <v>1</v>
      </c>
      <c r="I416" s="6">
        <v>196</v>
      </c>
      <c r="J416" s="11">
        <v>196</v>
      </c>
      <c r="M416" s="6" t="str" cm="1">
        <f t="array" ref="M416">_xlfn.IFS(J416&lt;=500,"Low",J416&gt;=1500,"Mid",J416&lt;=1500,"High",TRUE,"no")</f>
        <v>Low</v>
      </c>
      <c r="N416" s="6">
        <f t="shared" si="12"/>
        <v>1</v>
      </c>
      <c r="O416" s="6" t="str">
        <f t="shared" si="13"/>
        <v>Charlie</v>
      </c>
    </row>
    <row r="417" spans="1:15" x14ac:dyDescent="0.3">
      <c r="A417" s="10">
        <v>416</v>
      </c>
      <c r="B417" s="18">
        <v>45342</v>
      </c>
      <c r="C417" s="6" t="s">
        <v>435</v>
      </c>
      <c r="D417" s="6" t="s">
        <v>4</v>
      </c>
      <c r="E417" s="6" t="s">
        <v>14</v>
      </c>
      <c r="F417" s="6">
        <v>55</v>
      </c>
      <c r="G417" s="6" t="s">
        <v>15</v>
      </c>
      <c r="H417" s="6">
        <v>2</v>
      </c>
      <c r="I417" s="6">
        <v>303</v>
      </c>
      <c r="J417" s="11">
        <v>606</v>
      </c>
      <c r="M417" s="6" t="str" cm="1">
        <f t="array" ref="M417">_xlfn.IFS(J417&lt;=500,"Low",J417&gt;=1500,"Mid",J417&lt;=1500,"High",TRUE,"no")</f>
        <v>High</v>
      </c>
      <c r="N417" s="6">
        <f t="shared" si="12"/>
        <v>10</v>
      </c>
      <c r="O417" s="6" t="str">
        <f t="shared" si="13"/>
        <v>Alice</v>
      </c>
    </row>
    <row r="418" spans="1:15" x14ac:dyDescent="0.3">
      <c r="A418" s="10">
        <v>417</v>
      </c>
      <c r="B418" s="18">
        <v>45343</v>
      </c>
      <c r="C418" s="6" t="s">
        <v>436</v>
      </c>
      <c r="D418" s="6" t="s">
        <v>4</v>
      </c>
      <c r="E418" s="6" t="s">
        <v>14</v>
      </c>
      <c r="F418" s="6">
        <v>43</v>
      </c>
      <c r="G418" s="6" t="s">
        <v>27</v>
      </c>
      <c r="H418" s="6">
        <v>5</v>
      </c>
      <c r="I418" s="6">
        <v>290</v>
      </c>
      <c r="J418" s="11">
        <v>1450</v>
      </c>
      <c r="M418" s="6" t="str" cm="1">
        <f t="array" ref="M418">_xlfn.IFS(J418&lt;=500,"Low",J418&gt;=1500,"Mid",J418&lt;=1500,"High",TRUE,"no")</f>
        <v>High</v>
      </c>
      <c r="N418" s="6">
        <f t="shared" si="12"/>
        <v>10</v>
      </c>
      <c r="O418" s="6" t="str">
        <f t="shared" si="13"/>
        <v>Alice</v>
      </c>
    </row>
    <row r="419" spans="1:15" x14ac:dyDescent="0.3">
      <c r="A419" s="10">
        <v>418</v>
      </c>
      <c r="B419" s="18">
        <v>45344</v>
      </c>
      <c r="C419" s="6" t="s">
        <v>437</v>
      </c>
      <c r="D419" s="6" t="s">
        <v>4</v>
      </c>
      <c r="E419" s="6" t="s">
        <v>19</v>
      </c>
      <c r="F419" s="6">
        <v>48</v>
      </c>
      <c r="G419" s="6" t="s">
        <v>15</v>
      </c>
      <c r="H419" s="6">
        <v>4</v>
      </c>
      <c r="I419" s="6">
        <v>322</v>
      </c>
      <c r="J419" s="11">
        <v>1288</v>
      </c>
      <c r="M419" s="6" t="str" cm="1">
        <f t="array" ref="M419">_xlfn.IFS(J419&lt;=500,"Low",J419&gt;=1500,"Mid",J419&lt;=1500,"High",TRUE,"no")</f>
        <v>High</v>
      </c>
      <c r="N419" s="6">
        <f t="shared" si="12"/>
        <v>10</v>
      </c>
      <c r="O419" s="6" t="str">
        <f t="shared" si="13"/>
        <v>Alice</v>
      </c>
    </row>
    <row r="420" spans="1:15" x14ac:dyDescent="0.3">
      <c r="A420" s="10">
        <v>419</v>
      </c>
      <c r="B420" s="18">
        <v>45345</v>
      </c>
      <c r="C420" s="6" t="s">
        <v>438</v>
      </c>
      <c r="D420" s="6" t="s">
        <v>3</v>
      </c>
      <c r="E420" s="6" t="s">
        <v>19</v>
      </c>
      <c r="F420" s="6">
        <v>43</v>
      </c>
      <c r="G420" s="6" t="s">
        <v>23</v>
      </c>
      <c r="H420" s="6">
        <v>4</v>
      </c>
      <c r="I420" s="6">
        <v>245</v>
      </c>
      <c r="J420" s="11">
        <v>980</v>
      </c>
      <c r="M420" s="6" t="str" cm="1">
        <f t="array" ref="M420">_xlfn.IFS(J420&lt;=500,"Low",J420&gt;=1500,"Mid",J420&lt;=1500,"High",TRUE,"no")</f>
        <v>High</v>
      </c>
      <c r="N420" s="6">
        <f t="shared" si="12"/>
        <v>7</v>
      </c>
      <c r="O420" s="6" t="str">
        <f t="shared" si="13"/>
        <v>Bob</v>
      </c>
    </row>
    <row r="421" spans="1:15" x14ac:dyDescent="0.3">
      <c r="A421" s="10">
        <v>420</v>
      </c>
      <c r="B421" s="18">
        <v>45346</v>
      </c>
      <c r="C421" s="6" t="s">
        <v>439</v>
      </c>
      <c r="D421" s="6" t="s">
        <v>1</v>
      </c>
      <c r="E421" s="6" t="s">
        <v>19</v>
      </c>
      <c r="F421" s="6">
        <v>31</v>
      </c>
      <c r="G421" s="6" t="s">
        <v>20</v>
      </c>
      <c r="H421" s="6">
        <v>2</v>
      </c>
      <c r="I421" s="6">
        <v>500</v>
      </c>
      <c r="J421" s="11">
        <v>1000</v>
      </c>
      <c r="M421" s="6" t="str" cm="1">
        <f t="array" ref="M421">_xlfn.IFS(J421&lt;=500,"Low",J421&gt;=1500,"Mid",J421&lt;=1500,"High",TRUE,"no")</f>
        <v>High</v>
      </c>
      <c r="N421" s="6">
        <f t="shared" si="12"/>
        <v>1</v>
      </c>
      <c r="O421" s="6" t="str">
        <f t="shared" si="13"/>
        <v>Charlie</v>
      </c>
    </row>
    <row r="422" spans="1:15" x14ac:dyDescent="0.3">
      <c r="A422" s="10">
        <v>421</v>
      </c>
      <c r="B422" s="18">
        <v>45347</v>
      </c>
      <c r="C422" s="6" t="s">
        <v>440</v>
      </c>
      <c r="D422" s="6" t="s">
        <v>1</v>
      </c>
      <c r="E422" s="6" t="s">
        <v>19</v>
      </c>
      <c r="F422" s="6">
        <v>32</v>
      </c>
      <c r="G422" s="6" t="s">
        <v>17</v>
      </c>
      <c r="H422" s="6">
        <v>5</v>
      </c>
      <c r="I422" s="6">
        <v>212</v>
      </c>
      <c r="J422" s="11">
        <v>1060</v>
      </c>
      <c r="M422" s="6" t="str" cm="1">
        <f t="array" ref="M422">_xlfn.IFS(J422&lt;=500,"Low",J422&gt;=1500,"Mid",J422&lt;=1500,"High",TRUE,"no")</f>
        <v>High</v>
      </c>
      <c r="N422" s="6">
        <f t="shared" si="12"/>
        <v>1</v>
      </c>
      <c r="O422" s="6" t="str">
        <f t="shared" si="13"/>
        <v>Charlie</v>
      </c>
    </row>
    <row r="423" spans="1:15" x14ac:dyDescent="0.3">
      <c r="A423" s="10">
        <v>422</v>
      </c>
      <c r="B423" s="18">
        <v>45348</v>
      </c>
      <c r="C423" s="6" t="s">
        <v>441</v>
      </c>
      <c r="D423" s="6" t="s">
        <v>3</v>
      </c>
      <c r="E423" s="6" t="s">
        <v>19</v>
      </c>
      <c r="F423" s="6">
        <v>35</v>
      </c>
      <c r="G423" s="6" t="s">
        <v>27</v>
      </c>
      <c r="H423" s="6">
        <v>4</v>
      </c>
      <c r="I423" s="6">
        <v>444</v>
      </c>
      <c r="J423" s="11">
        <v>1776</v>
      </c>
      <c r="M423" s="6" t="str" cm="1">
        <f t="array" ref="M423">_xlfn.IFS(J423&lt;=500,"Low",J423&gt;=1500,"Mid",J423&lt;=1500,"High",TRUE,"no")</f>
        <v>Mid</v>
      </c>
      <c r="N423" s="6">
        <f t="shared" si="12"/>
        <v>7</v>
      </c>
      <c r="O423" s="6" t="str">
        <f t="shared" si="13"/>
        <v>Bob</v>
      </c>
    </row>
    <row r="424" spans="1:15" x14ac:dyDescent="0.3">
      <c r="A424" s="10">
        <v>423</v>
      </c>
      <c r="B424" s="18">
        <v>45349</v>
      </c>
      <c r="C424" s="6" t="s">
        <v>442</v>
      </c>
      <c r="D424" s="6" t="s">
        <v>1</v>
      </c>
      <c r="E424" s="6" t="s">
        <v>14</v>
      </c>
      <c r="F424" s="6">
        <v>35</v>
      </c>
      <c r="G424" s="6" t="s">
        <v>20</v>
      </c>
      <c r="H424" s="6">
        <v>1</v>
      </c>
      <c r="I424" s="6">
        <v>400</v>
      </c>
      <c r="J424" s="11">
        <v>400</v>
      </c>
      <c r="M424" s="6" t="str" cm="1">
        <f t="array" ref="M424">_xlfn.IFS(J424&lt;=500,"Low",J424&gt;=1500,"Mid",J424&lt;=1500,"High",TRUE,"no")</f>
        <v>Low</v>
      </c>
      <c r="N424" s="6">
        <f t="shared" si="12"/>
        <v>1</v>
      </c>
      <c r="O424" s="6" t="str">
        <f t="shared" si="13"/>
        <v>Charlie</v>
      </c>
    </row>
    <row r="425" spans="1:15" x14ac:dyDescent="0.3">
      <c r="A425" s="10">
        <v>424</v>
      </c>
      <c r="B425" s="18">
        <v>45350</v>
      </c>
      <c r="C425" s="6" t="s">
        <v>443</v>
      </c>
      <c r="D425" s="6" t="s">
        <v>4</v>
      </c>
      <c r="E425" s="6" t="s">
        <v>14</v>
      </c>
      <c r="F425" s="6">
        <v>27</v>
      </c>
      <c r="G425" s="6" t="s">
        <v>20</v>
      </c>
      <c r="H425" s="6">
        <v>5</v>
      </c>
      <c r="I425" s="6">
        <v>240</v>
      </c>
      <c r="J425" s="11">
        <v>1200</v>
      </c>
      <c r="M425" s="6" t="str" cm="1">
        <f t="array" ref="M425">_xlfn.IFS(J425&lt;=500,"Low",J425&gt;=1500,"Mid",J425&lt;=1500,"High",TRUE,"no")</f>
        <v>High</v>
      </c>
      <c r="N425" s="6">
        <f t="shared" si="12"/>
        <v>10</v>
      </c>
      <c r="O425" s="6" t="str">
        <f t="shared" si="13"/>
        <v>Alice</v>
      </c>
    </row>
    <row r="426" spans="1:15" x14ac:dyDescent="0.3">
      <c r="A426" s="10">
        <v>425</v>
      </c>
      <c r="B426" s="18">
        <v>45351</v>
      </c>
      <c r="C426" s="6" t="s">
        <v>444</v>
      </c>
      <c r="D426" s="6" t="s">
        <v>1</v>
      </c>
      <c r="E426" s="6" t="s">
        <v>14</v>
      </c>
      <c r="F426" s="6">
        <v>22</v>
      </c>
      <c r="G426" s="6" t="s">
        <v>27</v>
      </c>
      <c r="H426" s="6">
        <v>4</v>
      </c>
      <c r="I426" s="6">
        <v>439</v>
      </c>
      <c r="J426" s="11">
        <v>1756</v>
      </c>
      <c r="M426" s="6" t="str" cm="1">
        <f t="array" ref="M426">_xlfn.IFS(J426&lt;=500,"Low",J426&gt;=1500,"Mid",J426&lt;=1500,"High",TRUE,"no")</f>
        <v>Mid</v>
      </c>
      <c r="N426" s="6">
        <f t="shared" si="12"/>
        <v>1</v>
      </c>
      <c r="O426" s="6" t="str">
        <f t="shared" si="13"/>
        <v>Charlie</v>
      </c>
    </row>
    <row r="427" spans="1:15" x14ac:dyDescent="0.3">
      <c r="A427" s="10">
        <v>426</v>
      </c>
      <c r="B427" s="18">
        <v>45352</v>
      </c>
      <c r="C427" s="6" t="s">
        <v>445</v>
      </c>
      <c r="D427" s="6" t="s">
        <v>3</v>
      </c>
      <c r="E427" s="6" t="s">
        <v>19</v>
      </c>
      <c r="F427" s="6">
        <v>19</v>
      </c>
      <c r="G427" s="6" t="s">
        <v>23</v>
      </c>
      <c r="H427" s="6">
        <v>4</v>
      </c>
      <c r="I427" s="6">
        <v>122</v>
      </c>
      <c r="J427" s="11">
        <v>488</v>
      </c>
      <c r="M427" s="6" t="str" cm="1">
        <f t="array" ref="M427">_xlfn.IFS(J427&lt;=500,"Low",J427&gt;=1500,"Mid",J427&lt;=1500,"High",TRUE,"no")</f>
        <v>Low</v>
      </c>
      <c r="N427" s="6">
        <f t="shared" si="12"/>
        <v>7</v>
      </c>
      <c r="O427" s="6" t="str">
        <f t="shared" si="13"/>
        <v>Bob</v>
      </c>
    </row>
    <row r="428" spans="1:15" x14ac:dyDescent="0.3">
      <c r="A428" s="10">
        <v>427</v>
      </c>
      <c r="B428" s="18">
        <v>45353</v>
      </c>
      <c r="C428" s="6" t="s">
        <v>446</v>
      </c>
      <c r="D428" s="6" t="s">
        <v>4</v>
      </c>
      <c r="E428" s="6" t="s">
        <v>19</v>
      </c>
      <c r="F428" s="6">
        <v>22</v>
      </c>
      <c r="G428" s="6" t="s">
        <v>17</v>
      </c>
      <c r="H428" s="6">
        <v>2</v>
      </c>
      <c r="I428" s="6">
        <v>407</v>
      </c>
      <c r="J428" s="11">
        <v>814</v>
      </c>
      <c r="M428" s="6" t="str" cm="1">
        <f t="array" ref="M428">_xlfn.IFS(J428&lt;=500,"Low",J428&gt;=1500,"Mid",J428&lt;=1500,"High",TRUE,"no")</f>
        <v>High</v>
      </c>
      <c r="N428" s="6">
        <f t="shared" si="12"/>
        <v>10</v>
      </c>
      <c r="O428" s="6" t="str">
        <f t="shared" si="13"/>
        <v>Alice</v>
      </c>
    </row>
    <row r="429" spans="1:15" x14ac:dyDescent="0.3">
      <c r="A429" s="10">
        <v>428</v>
      </c>
      <c r="B429" s="18">
        <v>45354</v>
      </c>
      <c r="C429" s="6" t="s">
        <v>447</v>
      </c>
      <c r="D429" s="6" t="s">
        <v>3</v>
      </c>
      <c r="E429" s="6" t="s">
        <v>14</v>
      </c>
      <c r="F429" s="6">
        <v>26</v>
      </c>
      <c r="G429" s="6" t="s">
        <v>15</v>
      </c>
      <c r="H429" s="6">
        <v>4</v>
      </c>
      <c r="I429" s="6">
        <v>325</v>
      </c>
      <c r="J429" s="11">
        <v>1300</v>
      </c>
      <c r="M429" s="6" t="str" cm="1">
        <f t="array" ref="M429">_xlfn.IFS(J429&lt;=500,"Low",J429&gt;=1500,"Mid",J429&lt;=1500,"High",TRUE,"no")</f>
        <v>High</v>
      </c>
      <c r="N429" s="6">
        <f t="shared" si="12"/>
        <v>7</v>
      </c>
      <c r="O429" s="6" t="str">
        <f t="shared" si="13"/>
        <v>Bob</v>
      </c>
    </row>
    <row r="430" spans="1:15" x14ac:dyDescent="0.3">
      <c r="A430" s="10">
        <v>429</v>
      </c>
      <c r="B430" s="18">
        <v>45355</v>
      </c>
      <c r="C430" s="6" t="s">
        <v>448</v>
      </c>
      <c r="D430" s="6" t="s">
        <v>2</v>
      </c>
      <c r="E430" s="6" t="s">
        <v>14</v>
      </c>
      <c r="F430" s="6">
        <v>44</v>
      </c>
      <c r="G430" s="6" t="s">
        <v>20</v>
      </c>
      <c r="H430" s="6">
        <v>1</v>
      </c>
      <c r="I430" s="6">
        <v>458</v>
      </c>
      <c r="J430" s="11">
        <v>458</v>
      </c>
      <c r="M430" s="6" t="str" cm="1">
        <f t="array" ref="M430">_xlfn.IFS(J430&lt;=500,"Low",J430&gt;=1500,"Mid",J430&lt;=1500,"High",TRUE,"no")</f>
        <v>Low</v>
      </c>
      <c r="N430" s="6">
        <f t="shared" si="12"/>
        <v>2</v>
      </c>
      <c r="O430" s="6" t="str">
        <f t="shared" si="13"/>
        <v>Diana</v>
      </c>
    </row>
    <row r="431" spans="1:15" x14ac:dyDescent="0.3">
      <c r="A431" s="10">
        <v>430</v>
      </c>
      <c r="B431" s="18">
        <v>45356</v>
      </c>
      <c r="C431" s="6" t="s">
        <v>449</v>
      </c>
      <c r="D431" s="6" t="s">
        <v>4</v>
      </c>
      <c r="E431" s="6" t="s">
        <v>14</v>
      </c>
      <c r="F431" s="6">
        <v>29</v>
      </c>
      <c r="G431" s="6" t="s">
        <v>27</v>
      </c>
      <c r="H431" s="6">
        <v>3</v>
      </c>
      <c r="I431" s="6">
        <v>478</v>
      </c>
      <c r="J431" s="11">
        <v>1434</v>
      </c>
      <c r="M431" s="6" t="str" cm="1">
        <f t="array" ref="M431">_xlfn.IFS(J431&lt;=500,"Low",J431&gt;=1500,"Mid",J431&lt;=1500,"High",TRUE,"no")</f>
        <v>High</v>
      </c>
      <c r="N431" s="6">
        <f t="shared" si="12"/>
        <v>10</v>
      </c>
      <c r="O431" s="6" t="str">
        <f t="shared" si="13"/>
        <v>Alice</v>
      </c>
    </row>
    <row r="432" spans="1:15" x14ac:dyDescent="0.3">
      <c r="A432" s="10">
        <v>431</v>
      </c>
      <c r="B432" s="18">
        <v>45357</v>
      </c>
      <c r="C432" s="6" t="s">
        <v>450</v>
      </c>
      <c r="D432" s="6" t="s">
        <v>4</v>
      </c>
      <c r="E432" s="6" t="s">
        <v>19</v>
      </c>
      <c r="F432" s="6">
        <v>48</v>
      </c>
      <c r="G432" s="6" t="s">
        <v>23</v>
      </c>
      <c r="H432" s="6">
        <v>2</v>
      </c>
      <c r="I432" s="6">
        <v>155</v>
      </c>
      <c r="J432" s="11">
        <v>310</v>
      </c>
      <c r="M432" s="6" t="str" cm="1">
        <f t="array" ref="M432">_xlfn.IFS(J432&lt;=500,"Low",J432&gt;=1500,"Mid",J432&lt;=1500,"High",TRUE,"no")</f>
        <v>Low</v>
      </c>
      <c r="N432" s="6">
        <f t="shared" si="12"/>
        <v>10</v>
      </c>
      <c r="O432" s="6" t="str">
        <f t="shared" si="13"/>
        <v>Alice</v>
      </c>
    </row>
    <row r="433" spans="1:15" x14ac:dyDescent="0.3">
      <c r="A433" s="10">
        <v>432</v>
      </c>
      <c r="B433" s="18">
        <v>45358</v>
      </c>
      <c r="C433" s="6" t="s">
        <v>451</v>
      </c>
      <c r="D433" s="6" t="s">
        <v>1</v>
      </c>
      <c r="E433" s="6" t="s">
        <v>19</v>
      </c>
      <c r="F433" s="6">
        <v>34</v>
      </c>
      <c r="G433" s="6" t="s">
        <v>15</v>
      </c>
      <c r="H433" s="6">
        <v>4</v>
      </c>
      <c r="I433" s="6">
        <v>203</v>
      </c>
      <c r="J433" s="11">
        <v>812</v>
      </c>
      <c r="M433" s="6" t="str" cm="1">
        <f t="array" ref="M433">_xlfn.IFS(J433&lt;=500,"Low",J433&gt;=1500,"Mid",J433&lt;=1500,"High",TRUE,"no")</f>
        <v>High</v>
      </c>
      <c r="N433" s="6">
        <f t="shared" si="12"/>
        <v>1</v>
      </c>
      <c r="O433" s="6" t="str">
        <f t="shared" si="13"/>
        <v>Charlie</v>
      </c>
    </row>
    <row r="434" spans="1:15" x14ac:dyDescent="0.3">
      <c r="A434" s="10">
        <v>433</v>
      </c>
      <c r="B434" s="18">
        <v>45359</v>
      </c>
      <c r="C434" s="6" t="s">
        <v>452</v>
      </c>
      <c r="D434" s="6" t="s">
        <v>4</v>
      </c>
      <c r="E434" s="6" t="s">
        <v>19</v>
      </c>
      <c r="F434" s="6">
        <v>43</v>
      </c>
      <c r="G434" s="6" t="s">
        <v>17</v>
      </c>
      <c r="H434" s="6">
        <v>1</v>
      </c>
      <c r="I434" s="6">
        <v>371</v>
      </c>
      <c r="J434" s="11">
        <v>371</v>
      </c>
      <c r="M434" s="6" t="str" cm="1">
        <f t="array" ref="M434">_xlfn.IFS(J434&lt;=500,"Low",J434&gt;=1500,"Mid",J434&lt;=1500,"High",TRUE,"no")</f>
        <v>Low</v>
      </c>
      <c r="N434" s="6">
        <f t="shared" si="12"/>
        <v>10</v>
      </c>
      <c r="O434" s="6" t="str">
        <f t="shared" si="13"/>
        <v>Alice</v>
      </c>
    </row>
    <row r="435" spans="1:15" x14ac:dyDescent="0.3">
      <c r="A435" s="10">
        <v>434</v>
      </c>
      <c r="B435" s="18">
        <v>45360</v>
      </c>
      <c r="C435" s="6" t="s">
        <v>453</v>
      </c>
      <c r="D435" s="6" t="s">
        <v>3</v>
      </c>
      <c r="E435" s="6" t="s">
        <v>14</v>
      </c>
      <c r="F435" s="6">
        <v>41</v>
      </c>
      <c r="G435" s="6" t="s">
        <v>15</v>
      </c>
      <c r="H435" s="6">
        <v>2</v>
      </c>
      <c r="I435" s="6">
        <v>132</v>
      </c>
      <c r="J435" s="11">
        <v>264</v>
      </c>
      <c r="M435" s="6" t="str" cm="1">
        <f t="array" ref="M435">_xlfn.IFS(J435&lt;=500,"Low",J435&gt;=1500,"Mid",J435&lt;=1500,"High",TRUE,"no")</f>
        <v>Low</v>
      </c>
      <c r="N435" s="6">
        <f t="shared" si="12"/>
        <v>7</v>
      </c>
      <c r="O435" s="6" t="str">
        <f t="shared" si="13"/>
        <v>Bob</v>
      </c>
    </row>
    <row r="436" spans="1:15" x14ac:dyDescent="0.3">
      <c r="A436" s="10">
        <v>435</v>
      </c>
      <c r="B436" s="18">
        <v>45361</v>
      </c>
      <c r="C436" s="6" t="s">
        <v>454</v>
      </c>
      <c r="D436" s="6" t="s">
        <v>1</v>
      </c>
      <c r="E436" s="6" t="s">
        <v>14</v>
      </c>
      <c r="F436" s="6">
        <v>33</v>
      </c>
      <c r="G436" s="6" t="s">
        <v>27</v>
      </c>
      <c r="H436" s="6">
        <v>3</v>
      </c>
      <c r="I436" s="6">
        <v>474</v>
      </c>
      <c r="J436" s="11">
        <v>1422</v>
      </c>
      <c r="M436" s="6" t="str" cm="1">
        <f t="array" ref="M436">_xlfn.IFS(J436&lt;=500,"Low",J436&gt;=1500,"Mid",J436&lt;=1500,"High",TRUE,"no")</f>
        <v>High</v>
      </c>
      <c r="N436" s="6">
        <f t="shared" si="12"/>
        <v>1</v>
      </c>
      <c r="O436" s="6" t="str">
        <f t="shared" si="13"/>
        <v>Charlie</v>
      </c>
    </row>
    <row r="437" spans="1:15" x14ac:dyDescent="0.3">
      <c r="A437" s="10">
        <v>436</v>
      </c>
      <c r="B437" s="18">
        <v>45362</v>
      </c>
      <c r="C437" s="6" t="s">
        <v>455</v>
      </c>
      <c r="D437" s="6" t="s">
        <v>2</v>
      </c>
      <c r="E437" s="6" t="s">
        <v>14</v>
      </c>
      <c r="F437" s="6">
        <v>46</v>
      </c>
      <c r="G437" s="6" t="s">
        <v>27</v>
      </c>
      <c r="H437" s="6">
        <v>4</v>
      </c>
      <c r="I437" s="6">
        <v>345</v>
      </c>
      <c r="J437" s="11">
        <v>1380</v>
      </c>
      <c r="M437" s="6" t="str" cm="1">
        <f t="array" ref="M437">_xlfn.IFS(J437&lt;=500,"Low",J437&gt;=1500,"Mid",J437&lt;=1500,"High",TRUE,"no")</f>
        <v>High</v>
      </c>
      <c r="N437" s="6">
        <f t="shared" si="12"/>
        <v>2</v>
      </c>
      <c r="O437" s="6" t="str">
        <f t="shared" si="13"/>
        <v>Diana</v>
      </c>
    </row>
    <row r="438" spans="1:15" x14ac:dyDescent="0.3">
      <c r="A438" s="10">
        <v>437</v>
      </c>
      <c r="B438" s="18">
        <v>45363</v>
      </c>
      <c r="C438" s="6" t="s">
        <v>456</v>
      </c>
      <c r="D438" s="6" t="s">
        <v>3</v>
      </c>
      <c r="E438" s="6" t="s">
        <v>14</v>
      </c>
      <c r="F438" s="6">
        <v>50</v>
      </c>
      <c r="G438" s="6" t="s">
        <v>27</v>
      </c>
      <c r="H438" s="6">
        <v>4</v>
      </c>
      <c r="I438" s="6">
        <v>368</v>
      </c>
      <c r="J438" s="11">
        <v>1472</v>
      </c>
      <c r="M438" s="6" t="str" cm="1">
        <f t="array" ref="M438">_xlfn.IFS(J438&lt;=500,"Low",J438&gt;=1500,"Mid",J438&lt;=1500,"High",TRUE,"no")</f>
        <v>High</v>
      </c>
      <c r="N438" s="6">
        <f t="shared" si="12"/>
        <v>7</v>
      </c>
      <c r="O438" s="6" t="str">
        <f t="shared" si="13"/>
        <v>Bob</v>
      </c>
    </row>
    <row r="439" spans="1:15" x14ac:dyDescent="0.3">
      <c r="A439" s="10">
        <v>438</v>
      </c>
      <c r="B439" s="18">
        <v>45364</v>
      </c>
      <c r="C439" s="6" t="s">
        <v>457</v>
      </c>
      <c r="D439" s="6" t="s">
        <v>2</v>
      </c>
      <c r="E439" s="6" t="s">
        <v>19</v>
      </c>
      <c r="F439" s="6">
        <v>25</v>
      </c>
      <c r="G439" s="6" t="s">
        <v>15</v>
      </c>
      <c r="H439" s="6">
        <v>5</v>
      </c>
      <c r="I439" s="6">
        <v>339</v>
      </c>
      <c r="J439" s="11">
        <v>1695</v>
      </c>
      <c r="M439" s="6" t="str" cm="1">
        <f t="array" ref="M439">_xlfn.IFS(J439&lt;=500,"Low",J439&gt;=1500,"Mid",J439&lt;=1500,"High",TRUE,"no")</f>
        <v>Mid</v>
      </c>
      <c r="N439" s="6">
        <f t="shared" si="12"/>
        <v>2</v>
      </c>
      <c r="O439" s="6" t="str">
        <f t="shared" si="13"/>
        <v>Diana</v>
      </c>
    </row>
    <row r="440" spans="1:15" x14ac:dyDescent="0.3">
      <c r="A440" s="10">
        <v>439</v>
      </c>
      <c r="B440" s="18">
        <v>45365</v>
      </c>
      <c r="C440" s="6" t="s">
        <v>458</v>
      </c>
      <c r="D440" s="6" t="s">
        <v>2</v>
      </c>
      <c r="E440" s="6" t="s">
        <v>19</v>
      </c>
      <c r="F440" s="6">
        <v>46</v>
      </c>
      <c r="G440" s="6" t="s">
        <v>27</v>
      </c>
      <c r="H440" s="6">
        <v>4</v>
      </c>
      <c r="I440" s="6">
        <v>251</v>
      </c>
      <c r="J440" s="11">
        <v>1004</v>
      </c>
      <c r="M440" s="6" t="str" cm="1">
        <f t="array" ref="M440">_xlfn.IFS(J440&lt;=500,"Low",J440&gt;=1500,"Mid",J440&lt;=1500,"High",TRUE,"no")</f>
        <v>High</v>
      </c>
      <c r="N440" s="6">
        <f t="shared" si="12"/>
        <v>2</v>
      </c>
      <c r="O440" s="6" t="str">
        <f t="shared" si="13"/>
        <v>Diana</v>
      </c>
    </row>
    <row r="441" spans="1:15" x14ac:dyDescent="0.3">
      <c r="A441" s="10">
        <v>440</v>
      </c>
      <c r="B441" s="18">
        <v>45366</v>
      </c>
      <c r="C441" s="6" t="s">
        <v>459</v>
      </c>
      <c r="D441" s="6" t="s">
        <v>2</v>
      </c>
      <c r="E441" s="6" t="s">
        <v>14</v>
      </c>
      <c r="F441" s="6">
        <v>30</v>
      </c>
      <c r="G441" s="6" t="s">
        <v>27</v>
      </c>
      <c r="H441" s="6">
        <v>2</v>
      </c>
      <c r="I441" s="6">
        <v>177</v>
      </c>
      <c r="J441" s="11">
        <v>354</v>
      </c>
      <c r="M441" s="6" t="str" cm="1">
        <f t="array" ref="M441">_xlfn.IFS(J441&lt;=500,"Low",J441&gt;=1500,"Mid",J441&lt;=1500,"High",TRUE,"no")</f>
        <v>Low</v>
      </c>
      <c r="N441" s="6">
        <f t="shared" si="12"/>
        <v>2</v>
      </c>
      <c r="O441" s="6" t="str">
        <f t="shared" si="13"/>
        <v>Diana</v>
      </c>
    </row>
    <row r="442" spans="1:15" x14ac:dyDescent="0.3">
      <c r="A442" s="10">
        <v>441</v>
      </c>
      <c r="B442" s="18">
        <v>45367</v>
      </c>
      <c r="C442" s="6" t="s">
        <v>460</v>
      </c>
      <c r="D442" s="6" t="s">
        <v>4</v>
      </c>
      <c r="E442" s="6" t="s">
        <v>19</v>
      </c>
      <c r="F442" s="6">
        <v>39</v>
      </c>
      <c r="G442" s="6" t="s">
        <v>23</v>
      </c>
      <c r="H442" s="6">
        <v>5</v>
      </c>
      <c r="I442" s="6">
        <v>153</v>
      </c>
      <c r="J442" s="11">
        <v>765</v>
      </c>
      <c r="M442" s="6" t="str" cm="1">
        <f t="array" ref="M442">_xlfn.IFS(J442&lt;=500,"Low",J442&gt;=1500,"Mid",J442&lt;=1500,"High",TRUE,"no")</f>
        <v>High</v>
      </c>
      <c r="N442" s="6">
        <f t="shared" si="12"/>
        <v>10</v>
      </c>
      <c r="O442" s="6" t="str">
        <f t="shared" si="13"/>
        <v>Alice</v>
      </c>
    </row>
    <row r="443" spans="1:15" x14ac:dyDescent="0.3">
      <c r="A443" s="10">
        <v>442</v>
      </c>
      <c r="B443" s="18">
        <v>45368</v>
      </c>
      <c r="C443" s="6" t="s">
        <v>461</v>
      </c>
      <c r="D443" s="6" t="s">
        <v>3</v>
      </c>
      <c r="E443" s="6" t="s">
        <v>14</v>
      </c>
      <c r="F443" s="6">
        <v>30</v>
      </c>
      <c r="G443" s="6" t="s">
        <v>23</v>
      </c>
      <c r="H443" s="6">
        <v>4</v>
      </c>
      <c r="I443" s="6">
        <v>405</v>
      </c>
      <c r="J443" s="11">
        <v>1620</v>
      </c>
      <c r="M443" s="6" t="str" cm="1">
        <f t="array" ref="M443">_xlfn.IFS(J443&lt;=500,"Low",J443&gt;=1500,"Mid",J443&lt;=1500,"High",TRUE,"no")</f>
        <v>Mid</v>
      </c>
      <c r="N443" s="6">
        <f t="shared" si="12"/>
        <v>7</v>
      </c>
      <c r="O443" s="6" t="str">
        <f t="shared" si="13"/>
        <v>Bob</v>
      </c>
    </row>
    <row r="444" spans="1:15" x14ac:dyDescent="0.3">
      <c r="A444" s="10">
        <v>443</v>
      </c>
      <c r="B444" s="18">
        <v>45369</v>
      </c>
      <c r="C444" s="6" t="s">
        <v>462</v>
      </c>
      <c r="D444" s="6" t="s">
        <v>3</v>
      </c>
      <c r="E444" s="6" t="s">
        <v>14</v>
      </c>
      <c r="F444" s="6">
        <v>25</v>
      </c>
      <c r="G444" s="6" t="s">
        <v>27</v>
      </c>
      <c r="H444" s="6">
        <v>2</v>
      </c>
      <c r="I444" s="6">
        <v>448</v>
      </c>
      <c r="J444" s="11">
        <v>896</v>
      </c>
      <c r="M444" s="6" t="str" cm="1">
        <f t="array" ref="M444">_xlfn.IFS(J444&lt;=500,"Low",J444&gt;=1500,"Mid",J444&lt;=1500,"High",TRUE,"no")</f>
        <v>High</v>
      </c>
      <c r="N444" s="6">
        <f t="shared" si="12"/>
        <v>7</v>
      </c>
      <c r="O444" s="6" t="str">
        <f t="shared" si="13"/>
        <v>Bob</v>
      </c>
    </row>
    <row r="445" spans="1:15" x14ac:dyDescent="0.3">
      <c r="A445" s="10">
        <v>444</v>
      </c>
      <c r="B445" s="18">
        <v>45370</v>
      </c>
      <c r="C445" s="6" t="s">
        <v>463</v>
      </c>
      <c r="D445" s="6" t="s">
        <v>4</v>
      </c>
      <c r="E445" s="6" t="s">
        <v>19</v>
      </c>
      <c r="F445" s="6">
        <v>21</v>
      </c>
      <c r="G445" s="6" t="s">
        <v>15</v>
      </c>
      <c r="H445" s="6">
        <v>1</v>
      </c>
      <c r="I445" s="6">
        <v>471</v>
      </c>
      <c r="J445" s="11">
        <v>471</v>
      </c>
      <c r="M445" s="6" t="str" cm="1">
        <f t="array" ref="M445">_xlfn.IFS(J445&lt;=500,"Low",J445&gt;=1500,"Mid",J445&lt;=1500,"High",TRUE,"no")</f>
        <v>Low</v>
      </c>
      <c r="N445" s="6">
        <f t="shared" si="12"/>
        <v>10</v>
      </c>
      <c r="O445" s="6" t="str">
        <f t="shared" si="13"/>
        <v>Alice</v>
      </c>
    </row>
    <row r="446" spans="1:15" x14ac:dyDescent="0.3">
      <c r="A446" s="10">
        <v>445</v>
      </c>
      <c r="B446" s="18">
        <v>45371</v>
      </c>
      <c r="C446" s="6" t="s">
        <v>464</v>
      </c>
      <c r="D446" s="6" t="s">
        <v>1</v>
      </c>
      <c r="E446" s="6" t="s">
        <v>14</v>
      </c>
      <c r="F446" s="6">
        <v>37</v>
      </c>
      <c r="G446" s="6" t="s">
        <v>23</v>
      </c>
      <c r="H446" s="6">
        <v>1</v>
      </c>
      <c r="I446" s="6">
        <v>351</v>
      </c>
      <c r="J446" s="11">
        <v>351</v>
      </c>
      <c r="M446" s="6" t="str" cm="1">
        <f t="array" ref="M446">_xlfn.IFS(J446&lt;=500,"Low",J446&gt;=1500,"Mid",J446&lt;=1500,"High",TRUE,"no")</f>
        <v>Low</v>
      </c>
      <c r="N446" s="6">
        <f t="shared" si="12"/>
        <v>1</v>
      </c>
      <c r="O446" s="6" t="str">
        <f t="shared" si="13"/>
        <v>Charlie</v>
      </c>
    </row>
    <row r="447" spans="1:15" x14ac:dyDescent="0.3">
      <c r="A447" s="10">
        <v>446</v>
      </c>
      <c r="B447" s="18">
        <v>45372</v>
      </c>
      <c r="C447" s="6" t="s">
        <v>465</v>
      </c>
      <c r="D447" s="6" t="s">
        <v>2</v>
      </c>
      <c r="E447" s="6" t="s">
        <v>14</v>
      </c>
      <c r="F447" s="6">
        <v>18</v>
      </c>
      <c r="G447" s="6" t="s">
        <v>23</v>
      </c>
      <c r="H447" s="6">
        <v>3</v>
      </c>
      <c r="I447" s="6">
        <v>487</v>
      </c>
      <c r="J447" s="11">
        <v>1461</v>
      </c>
      <c r="M447" s="6" t="str" cm="1">
        <f t="array" ref="M447">_xlfn.IFS(J447&lt;=500,"Low",J447&gt;=1500,"Mid",J447&lt;=1500,"High",TRUE,"no")</f>
        <v>High</v>
      </c>
      <c r="N447" s="6">
        <f t="shared" si="12"/>
        <v>2</v>
      </c>
      <c r="O447" s="6" t="str">
        <f t="shared" si="13"/>
        <v>Diana</v>
      </c>
    </row>
    <row r="448" spans="1:15" x14ac:dyDescent="0.3">
      <c r="A448" s="10">
        <v>447</v>
      </c>
      <c r="B448" s="18">
        <v>45373</v>
      </c>
      <c r="C448" s="6" t="s">
        <v>466</v>
      </c>
      <c r="D448" s="6" t="s">
        <v>3</v>
      </c>
      <c r="E448" s="6" t="s">
        <v>19</v>
      </c>
      <c r="F448" s="6">
        <v>28</v>
      </c>
      <c r="G448" s="6" t="s">
        <v>20</v>
      </c>
      <c r="H448" s="6">
        <v>5</v>
      </c>
      <c r="I448" s="6">
        <v>190</v>
      </c>
      <c r="J448" s="11">
        <v>950</v>
      </c>
      <c r="M448" s="6" t="str" cm="1">
        <f t="array" ref="M448">_xlfn.IFS(J448&lt;=500,"Low",J448&gt;=1500,"Mid",J448&lt;=1500,"High",TRUE,"no")</f>
        <v>High</v>
      </c>
      <c r="N448" s="6">
        <f t="shared" si="12"/>
        <v>7</v>
      </c>
      <c r="O448" s="6" t="str">
        <f t="shared" si="13"/>
        <v>Bob</v>
      </c>
    </row>
    <row r="449" spans="1:15" x14ac:dyDescent="0.3">
      <c r="A449" s="10">
        <v>448</v>
      </c>
      <c r="B449" s="18">
        <v>45374</v>
      </c>
      <c r="C449" s="6" t="s">
        <v>467</v>
      </c>
      <c r="D449" s="6" t="s">
        <v>4</v>
      </c>
      <c r="E449" s="6" t="s">
        <v>14</v>
      </c>
      <c r="F449" s="6">
        <v>56</v>
      </c>
      <c r="G449" s="6" t="s">
        <v>23</v>
      </c>
      <c r="H449" s="6">
        <v>5</v>
      </c>
      <c r="I449" s="6">
        <v>307</v>
      </c>
      <c r="J449" s="11">
        <v>1535</v>
      </c>
      <c r="M449" s="6" t="str" cm="1">
        <f t="array" ref="M449">_xlfn.IFS(J449&lt;=500,"Low",J449&gt;=1500,"Mid",J449&lt;=1500,"High",TRUE,"no")</f>
        <v>Mid</v>
      </c>
      <c r="N449" s="6">
        <f t="shared" si="12"/>
        <v>10</v>
      </c>
      <c r="O449" s="6" t="str">
        <f t="shared" si="13"/>
        <v>Alice</v>
      </c>
    </row>
    <row r="450" spans="1:15" x14ac:dyDescent="0.3">
      <c r="A450" s="10">
        <v>449</v>
      </c>
      <c r="B450" s="18">
        <v>45375</v>
      </c>
      <c r="C450" s="6" t="s">
        <v>468</v>
      </c>
      <c r="D450" s="6" t="s">
        <v>2</v>
      </c>
      <c r="E450" s="6" t="s">
        <v>14</v>
      </c>
      <c r="F450" s="6">
        <v>19</v>
      </c>
      <c r="G450" s="6" t="s">
        <v>20</v>
      </c>
      <c r="H450" s="6">
        <v>3</v>
      </c>
      <c r="I450" s="6">
        <v>284</v>
      </c>
      <c r="J450" s="11">
        <v>852</v>
      </c>
      <c r="M450" s="6" t="str" cm="1">
        <f t="array" ref="M450">_xlfn.IFS(J450&lt;=500,"Low",J450&gt;=1500,"Mid",J450&lt;=1500,"High",TRUE,"no")</f>
        <v>High</v>
      </c>
      <c r="N450" s="6">
        <f t="shared" si="12"/>
        <v>2</v>
      </c>
      <c r="O450" s="6" t="str">
        <f t="shared" si="13"/>
        <v>Diana</v>
      </c>
    </row>
    <row r="451" spans="1:15" x14ac:dyDescent="0.3">
      <c r="A451" s="10">
        <v>450</v>
      </c>
      <c r="B451" s="18">
        <v>45376</v>
      </c>
      <c r="C451" s="6" t="s">
        <v>469</v>
      </c>
      <c r="D451" s="6" t="s">
        <v>1</v>
      </c>
      <c r="E451" s="6" t="s">
        <v>14</v>
      </c>
      <c r="F451" s="6">
        <v>21</v>
      </c>
      <c r="G451" s="6" t="s">
        <v>20</v>
      </c>
      <c r="H451" s="6">
        <v>3</v>
      </c>
      <c r="I451" s="6">
        <v>163</v>
      </c>
      <c r="J451" s="11">
        <v>489</v>
      </c>
      <c r="M451" s="6" t="str" cm="1">
        <f t="array" ref="M451">_xlfn.IFS(J451&lt;=500,"Low",J451&gt;=1500,"Mid",J451&lt;=1500,"High",TRUE,"no")</f>
        <v>Low</v>
      </c>
      <c r="N451" s="6">
        <f t="shared" ref="N451:N480" si="14">MATCH(D451,$D$2:$D$1001,0)</f>
        <v>1</v>
      </c>
      <c r="O451" s="6" t="str">
        <f t="shared" ref="O451:O514" si="15">INDEX(D451:D1450,MATCH($D$2,$D$2:$D$1001,0))</f>
        <v>Charlie</v>
      </c>
    </row>
    <row r="452" spans="1:15" x14ac:dyDescent="0.3">
      <c r="A452" s="10">
        <v>451</v>
      </c>
      <c r="B452" s="18">
        <v>45377</v>
      </c>
      <c r="C452" s="6" t="s">
        <v>470</v>
      </c>
      <c r="D452" s="6" t="s">
        <v>1</v>
      </c>
      <c r="E452" s="6" t="s">
        <v>19</v>
      </c>
      <c r="F452" s="6">
        <v>50</v>
      </c>
      <c r="G452" s="6" t="s">
        <v>15</v>
      </c>
      <c r="H452" s="6">
        <v>2</v>
      </c>
      <c r="I452" s="6">
        <v>281</v>
      </c>
      <c r="J452" s="11">
        <v>562</v>
      </c>
      <c r="M452" s="6" t="str" cm="1">
        <f t="array" ref="M452">_xlfn.IFS(J452&lt;=500,"Low",J452&gt;=1500,"Mid",J452&lt;=1500,"High",TRUE,"no")</f>
        <v>High</v>
      </c>
      <c r="N452" s="6">
        <f t="shared" si="14"/>
        <v>1</v>
      </c>
      <c r="O452" s="6" t="str">
        <f t="shared" si="15"/>
        <v>Charlie</v>
      </c>
    </row>
    <row r="453" spans="1:15" x14ac:dyDescent="0.3">
      <c r="A453" s="10">
        <v>452</v>
      </c>
      <c r="B453" s="18">
        <v>45378</v>
      </c>
      <c r="C453" s="6" t="s">
        <v>471</v>
      </c>
      <c r="D453" s="6" t="s">
        <v>2</v>
      </c>
      <c r="E453" s="6" t="s">
        <v>14</v>
      </c>
      <c r="F453" s="6">
        <v>28</v>
      </c>
      <c r="G453" s="6" t="s">
        <v>27</v>
      </c>
      <c r="H453" s="6">
        <v>1</v>
      </c>
      <c r="I453" s="6">
        <v>57</v>
      </c>
      <c r="J453" s="11">
        <v>57</v>
      </c>
      <c r="M453" s="6" t="str" cm="1">
        <f t="array" ref="M453">_xlfn.IFS(J453&lt;=500,"Low",J453&gt;=1500,"Mid",J453&lt;=1500,"High",TRUE,"no")</f>
        <v>Low</v>
      </c>
      <c r="N453" s="6">
        <f t="shared" si="14"/>
        <v>2</v>
      </c>
      <c r="O453" s="6" t="str">
        <f t="shared" si="15"/>
        <v>Diana</v>
      </c>
    </row>
    <row r="454" spans="1:15" x14ac:dyDescent="0.3">
      <c r="A454" s="10">
        <v>453</v>
      </c>
      <c r="B454" s="18">
        <v>45379</v>
      </c>
      <c r="C454" s="6" t="s">
        <v>472</v>
      </c>
      <c r="D454" s="6" t="s">
        <v>1</v>
      </c>
      <c r="E454" s="6" t="s">
        <v>19</v>
      </c>
      <c r="F454" s="6">
        <v>55</v>
      </c>
      <c r="G454" s="6" t="s">
        <v>27</v>
      </c>
      <c r="H454" s="6">
        <v>4</v>
      </c>
      <c r="I454" s="6">
        <v>65</v>
      </c>
      <c r="J454" s="11">
        <v>260</v>
      </c>
      <c r="M454" s="6" t="str" cm="1">
        <f t="array" ref="M454">_xlfn.IFS(J454&lt;=500,"Low",J454&gt;=1500,"Mid",J454&lt;=1500,"High",TRUE,"no")</f>
        <v>Low</v>
      </c>
      <c r="N454" s="6">
        <f t="shared" si="14"/>
        <v>1</v>
      </c>
      <c r="O454" s="6" t="str">
        <f t="shared" si="15"/>
        <v>Charlie</v>
      </c>
    </row>
    <row r="455" spans="1:15" x14ac:dyDescent="0.3">
      <c r="A455" s="10">
        <v>454</v>
      </c>
      <c r="B455" s="18">
        <v>45380</v>
      </c>
      <c r="C455" s="6" t="s">
        <v>473</v>
      </c>
      <c r="D455" s="6" t="s">
        <v>3</v>
      </c>
      <c r="E455" s="6" t="s">
        <v>14</v>
      </c>
      <c r="F455" s="6">
        <v>24</v>
      </c>
      <c r="G455" s="6" t="s">
        <v>23</v>
      </c>
      <c r="H455" s="6">
        <v>4</v>
      </c>
      <c r="I455" s="6">
        <v>93</v>
      </c>
      <c r="J455" s="11">
        <v>372</v>
      </c>
      <c r="M455" s="6" t="str" cm="1">
        <f t="array" ref="M455">_xlfn.IFS(J455&lt;=500,"Low",J455&gt;=1500,"Mid",J455&lt;=1500,"High",TRUE,"no")</f>
        <v>Low</v>
      </c>
      <c r="N455" s="6">
        <f t="shared" si="14"/>
        <v>7</v>
      </c>
      <c r="O455" s="6" t="str">
        <f t="shared" si="15"/>
        <v>Bob</v>
      </c>
    </row>
    <row r="456" spans="1:15" x14ac:dyDescent="0.3">
      <c r="A456" s="10">
        <v>455</v>
      </c>
      <c r="B456" s="18">
        <v>45381</v>
      </c>
      <c r="C456" s="6" t="s">
        <v>474</v>
      </c>
      <c r="D456" s="6" t="s">
        <v>3</v>
      </c>
      <c r="E456" s="6" t="s">
        <v>14</v>
      </c>
      <c r="F456" s="6">
        <v>22</v>
      </c>
      <c r="G456" s="6" t="s">
        <v>20</v>
      </c>
      <c r="H456" s="6">
        <v>4</v>
      </c>
      <c r="I456" s="6">
        <v>95</v>
      </c>
      <c r="J456" s="11">
        <v>380</v>
      </c>
      <c r="M456" s="6" t="str" cm="1">
        <f t="array" ref="M456">_xlfn.IFS(J456&lt;=500,"Low",J456&gt;=1500,"Mid",J456&lt;=1500,"High",TRUE,"no")</f>
        <v>Low</v>
      </c>
      <c r="N456" s="6">
        <f t="shared" si="14"/>
        <v>7</v>
      </c>
      <c r="O456" s="6" t="str">
        <f t="shared" si="15"/>
        <v>Bob</v>
      </c>
    </row>
    <row r="457" spans="1:15" x14ac:dyDescent="0.3">
      <c r="A457" s="10">
        <v>456</v>
      </c>
      <c r="B457" s="18">
        <v>45382</v>
      </c>
      <c r="C457" s="6" t="s">
        <v>475</v>
      </c>
      <c r="D457" s="6" t="s">
        <v>3</v>
      </c>
      <c r="E457" s="6" t="s">
        <v>19</v>
      </c>
      <c r="F457" s="6">
        <v>47</v>
      </c>
      <c r="G457" s="6" t="s">
        <v>17</v>
      </c>
      <c r="H457" s="6">
        <v>5</v>
      </c>
      <c r="I457" s="6">
        <v>282</v>
      </c>
      <c r="J457" s="11">
        <v>1410</v>
      </c>
      <c r="M457" s="6" t="str" cm="1">
        <f t="array" ref="M457">_xlfn.IFS(J457&lt;=500,"Low",J457&gt;=1500,"Mid",J457&lt;=1500,"High",TRUE,"no")</f>
        <v>High</v>
      </c>
      <c r="N457" s="6">
        <f t="shared" si="14"/>
        <v>7</v>
      </c>
      <c r="O457" s="6" t="str">
        <f t="shared" si="15"/>
        <v>Bob</v>
      </c>
    </row>
    <row r="458" spans="1:15" x14ac:dyDescent="0.3">
      <c r="A458" s="10">
        <v>457</v>
      </c>
      <c r="B458" s="18">
        <v>45383</v>
      </c>
      <c r="C458" s="6" t="s">
        <v>476</v>
      </c>
      <c r="D458" s="6" t="s">
        <v>1</v>
      </c>
      <c r="E458" s="6" t="s">
        <v>19</v>
      </c>
      <c r="F458" s="6">
        <v>23</v>
      </c>
      <c r="G458" s="6" t="s">
        <v>15</v>
      </c>
      <c r="H458" s="6">
        <v>4</v>
      </c>
      <c r="I458" s="6">
        <v>359</v>
      </c>
      <c r="J458" s="11">
        <v>1436</v>
      </c>
      <c r="M458" s="6" t="str" cm="1">
        <f t="array" ref="M458">_xlfn.IFS(J458&lt;=500,"Low",J458&gt;=1500,"Mid",J458&lt;=1500,"High",TRUE,"no")</f>
        <v>High</v>
      </c>
      <c r="N458" s="6">
        <f t="shared" si="14"/>
        <v>1</v>
      </c>
      <c r="O458" s="6" t="str">
        <f t="shared" si="15"/>
        <v>Charlie</v>
      </c>
    </row>
    <row r="459" spans="1:15" x14ac:dyDescent="0.3">
      <c r="A459" s="10">
        <v>458</v>
      </c>
      <c r="B459" s="18">
        <v>45384</v>
      </c>
      <c r="C459" s="6" t="s">
        <v>477</v>
      </c>
      <c r="D459" s="6" t="s">
        <v>3</v>
      </c>
      <c r="E459" s="6" t="s">
        <v>19</v>
      </c>
      <c r="F459" s="6">
        <v>58</v>
      </c>
      <c r="G459" s="6" t="s">
        <v>17</v>
      </c>
      <c r="H459" s="6">
        <v>2</v>
      </c>
      <c r="I459" s="6">
        <v>306</v>
      </c>
      <c r="J459" s="11">
        <v>612</v>
      </c>
      <c r="M459" s="6" t="str" cm="1">
        <f t="array" ref="M459">_xlfn.IFS(J459&lt;=500,"Low",J459&gt;=1500,"Mid",J459&lt;=1500,"High",TRUE,"no")</f>
        <v>High</v>
      </c>
      <c r="N459" s="6">
        <f t="shared" si="14"/>
        <v>7</v>
      </c>
      <c r="O459" s="6" t="str">
        <f t="shared" si="15"/>
        <v>Bob</v>
      </c>
    </row>
    <row r="460" spans="1:15" x14ac:dyDescent="0.3">
      <c r="A460" s="10">
        <v>459</v>
      </c>
      <c r="B460" s="18">
        <v>45385</v>
      </c>
      <c r="C460" s="6" t="s">
        <v>478</v>
      </c>
      <c r="D460" s="6" t="s">
        <v>4</v>
      </c>
      <c r="E460" s="6" t="s">
        <v>14</v>
      </c>
      <c r="F460" s="6">
        <v>56</v>
      </c>
      <c r="G460" s="6" t="s">
        <v>17</v>
      </c>
      <c r="H460" s="6">
        <v>1</v>
      </c>
      <c r="I460" s="6">
        <v>227</v>
      </c>
      <c r="J460" s="11">
        <v>227</v>
      </c>
      <c r="M460" s="6" t="str" cm="1">
        <f t="array" ref="M460">_xlfn.IFS(J460&lt;=500,"Low",J460&gt;=1500,"Mid",J460&lt;=1500,"High",TRUE,"no")</f>
        <v>Low</v>
      </c>
      <c r="N460" s="6">
        <f t="shared" si="14"/>
        <v>10</v>
      </c>
      <c r="O460" s="6" t="str">
        <f t="shared" si="15"/>
        <v>Alice</v>
      </c>
    </row>
    <row r="461" spans="1:15" x14ac:dyDescent="0.3">
      <c r="A461" s="10">
        <v>460</v>
      </c>
      <c r="B461" s="18">
        <v>45386</v>
      </c>
      <c r="C461" s="6" t="s">
        <v>479</v>
      </c>
      <c r="D461" s="6" t="s">
        <v>3</v>
      </c>
      <c r="E461" s="6" t="s">
        <v>14</v>
      </c>
      <c r="F461" s="6">
        <v>38</v>
      </c>
      <c r="G461" s="6" t="s">
        <v>15</v>
      </c>
      <c r="H461" s="6">
        <v>5</v>
      </c>
      <c r="I461" s="6">
        <v>244</v>
      </c>
      <c r="J461" s="11">
        <v>1220</v>
      </c>
      <c r="M461" s="6" t="str" cm="1">
        <f t="array" ref="M461">_xlfn.IFS(J461&lt;=500,"Low",J461&gt;=1500,"Mid",J461&lt;=1500,"High",TRUE,"no")</f>
        <v>High</v>
      </c>
      <c r="N461" s="6">
        <f t="shared" si="14"/>
        <v>7</v>
      </c>
      <c r="O461" s="6" t="str">
        <f t="shared" si="15"/>
        <v>Bob</v>
      </c>
    </row>
    <row r="462" spans="1:15" x14ac:dyDescent="0.3">
      <c r="A462" s="10">
        <v>461</v>
      </c>
      <c r="B462" s="18">
        <v>45387</v>
      </c>
      <c r="C462" s="6" t="s">
        <v>480</v>
      </c>
      <c r="D462" s="6" t="s">
        <v>3</v>
      </c>
      <c r="E462" s="6" t="s">
        <v>19</v>
      </c>
      <c r="F462" s="6">
        <v>56</v>
      </c>
      <c r="G462" s="6" t="s">
        <v>27</v>
      </c>
      <c r="H462" s="6">
        <v>1</v>
      </c>
      <c r="I462" s="6">
        <v>223</v>
      </c>
      <c r="J462" s="11">
        <v>223</v>
      </c>
      <c r="M462" s="6" t="str" cm="1">
        <f t="array" ref="M462">_xlfn.IFS(J462&lt;=500,"Low",J462&gt;=1500,"Mid",J462&lt;=1500,"High",TRUE,"no")</f>
        <v>Low</v>
      </c>
      <c r="N462" s="6">
        <f t="shared" si="14"/>
        <v>7</v>
      </c>
      <c r="O462" s="6" t="str">
        <f t="shared" si="15"/>
        <v>Bob</v>
      </c>
    </row>
    <row r="463" spans="1:15" x14ac:dyDescent="0.3">
      <c r="A463" s="10">
        <v>462</v>
      </c>
      <c r="B463" s="18">
        <v>45388</v>
      </c>
      <c r="C463" s="6" t="s">
        <v>481</v>
      </c>
      <c r="D463" s="6" t="s">
        <v>1</v>
      </c>
      <c r="E463" s="6" t="s">
        <v>19</v>
      </c>
      <c r="F463" s="6">
        <v>44</v>
      </c>
      <c r="G463" s="6" t="s">
        <v>27</v>
      </c>
      <c r="H463" s="6">
        <v>2</v>
      </c>
      <c r="I463" s="6">
        <v>286</v>
      </c>
      <c r="J463" s="11">
        <v>572</v>
      </c>
      <c r="M463" s="6" t="str" cm="1">
        <f t="array" ref="M463">_xlfn.IFS(J463&lt;=500,"Low",J463&gt;=1500,"Mid",J463&lt;=1500,"High",TRUE,"no")</f>
        <v>High</v>
      </c>
      <c r="N463" s="6">
        <f t="shared" si="14"/>
        <v>1</v>
      </c>
      <c r="O463" s="6" t="str">
        <f t="shared" si="15"/>
        <v>Charlie</v>
      </c>
    </row>
    <row r="464" spans="1:15" x14ac:dyDescent="0.3">
      <c r="A464" s="10">
        <v>463</v>
      </c>
      <c r="B464" s="18">
        <v>45389</v>
      </c>
      <c r="C464" s="6" t="s">
        <v>482</v>
      </c>
      <c r="D464" s="6" t="s">
        <v>3</v>
      </c>
      <c r="E464" s="6" t="s">
        <v>19</v>
      </c>
      <c r="F464" s="6">
        <v>20</v>
      </c>
      <c r="G464" s="6" t="s">
        <v>15</v>
      </c>
      <c r="H464" s="6">
        <v>5</v>
      </c>
      <c r="I464" s="6">
        <v>422</v>
      </c>
      <c r="J464" s="11">
        <v>2110</v>
      </c>
      <c r="M464" s="6" t="str" cm="1">
        <f t="array" ref="M464">_xlfn.IFS(J464&lt;=500,"Low",J464&gt;=1500,"Mid",J464&lt;=1500,"High",TRUE,"no")</f>
        <v>Mid</v>
      </c>
      <c r="N464" s="6">
        <f t="shared" si="14"/>
        <v>7</v>
      </c>
      <c r="O464" s="6" t="str">
        <f t="shared" si="15"/>
        <v>Bob</v>
      </c>
    </row>
    <row r="465" spans="1:15" x14ac:dyDescent="0.3">
      <c r="A465" s="10">
        <v>464</v>
      </c>
      <c r="B465" s="18">
        <v>45390</v>
      </c>
      <c r="C465" s="6" t="s">
        <v>483</v>
      </c>
      <c r="D465" s="6" t="s">
        <v>2</v>
      </c>
      <c r="E465" s="6" t="s">
        <v>14</v>
      </c>
      <c r="F465" s="6">
        <v>28</v>
      </c>
      <c r="G465" s="6" t="s">
        <v>27</v>
      </c>
      <c r="H465" s="6">
        <v>1</v>
      </c>
      <c r="I465" s="6">
        <v>227</v>
      </c>
      <c r="J465" s="11">
        <v>227</v>
      </c>
      <c r="M465" s="6" t="str" cm="1">
        <f t="array" ref="M465">_xlfn.IFS(J465&lt;=500,"Low",J465&gt;=1500,"Mid",J465&lt;=1500,"High",TRUE,"no")</f>
        <v>Low</v>
      </c>
      <c r="N465" s="6">
        <f t="shared" si="14"/>
        <v>2</v>
      </c>
      <c r="O465" s="6" t="str">
        <f t="shared" si="15"/>
        <v>Diana</v>
      </c>
    </row>
    <row r="466" spans="1:15" x14ac:dyDescent="0.3">
      <c r="A466" s="10">
        <v>465</v>
      </c>
      <c r="B466" s="18">
        <v>45391</v>
      </c>
      <c r="C466" s="6" t="s">
        <v>484</v>
      </c>
      <c r="D466" s="6" t="s">
        <v>4</v>
      </c>
      <c r="E466" s="6" t="s">
        <v>19</v>
      </c>
      <c r="F466" s="6">
        <v>25</v>
      </c>
      <c r="G466" s="6" t="s">
        <v>15</v>
      </c>
      <c r="H466" s="6">
        <v>5</v>
      </c>
      <c r="I466" s="6">
        <v>315</v>
      </c>
      <c r="J466" s="11">
        <v>1575</v>
      </c>
      <c r="M466" s="6" t="str" cm="1">
        <f t="array" ref="M466">_xlfn.IFS(J466&lt;=500,"Low",J466&gt;=1500,"Mid",J466&lt;=1500,"High",TRUE,"no")</f>
        <v>Mid</v>
      </c>
      <c r="N466" s="6">
        <f t="shared" si="14"/>
        <v>10</v>
      </c>
      <c r="O466" s="6" t="str">
        <f t="shared" si="15"/>
        <v>Alice</v>
      </c>
    </row>
    <row r="467" spans="1:15" x14ac:dyDescent="0.3">
      <c r="A467" s="10">
        <v>466</v>
      </c>
      <c r="B467" s="18">
        <v>45392</v>
      </c>
      <c r="C467" s="6" t="s">
        <v>485</v>
      </c>
      <c r="D467" s="6" t="s">
        <v>1</v>
      </c>
      <c r="E467" s="6" t="s">
        <v>14</v>
      </c>
      <c r="F467" s="6">
        <v>46</v>
      </c>
      <c r="G467" s="6" t="s">
        <v>15</v>
      </c>
      <c r="H467" s="6">
        <v>5</v>
      </c>
      <c r="I467" s="6">
        <v>248</v>
      </c>
      <c r="J467" s="11">
        <v>1240</v>
      </c>
      <c r="M467" s="6" t="str" cm="1">
        <f t="array" ref="M467">_xlfn.IFS(J467&lt;=500,"Low",J467&gt;=1500,"Mid",J467&lt;=1500,"High",TRUE,"no")</f>
        <v>High</v>
      </c>
      <c r="N467" s="6">
        <f t="shared" si="14"/>
        <v>1</v>
      </c>
      <c r="O467" s="6" t="str">
        <f t="shared" si="15"/>
        <v>Charlie</v>
      </c>
    </row>
    <row r="468" spans="1:15" x14ac:dyDescent="0.3">
      <c r="A468" s="10">
        <v>467</v>
      </c>
      <c r="B468" s="18">
        <v>45393</v>
      </c>
      <c r="C468" s="6" t="s">
        <v>486</v>
      </c>
      <c r="D468" s="6" t="s">
        <v>4</v>
      </c>
      <c r="E468" s="6" t="s">
        <v>14</v>
      </c>
      <c r="F468" s="6">
        <v>25</v>
      </c>
      <c r="G468" s="6" t="s">
        <v>23</v>
      </c>
      <c r="H468" s="6">
        <v>3</v>
      </c>
      <c r="I468" s="6">
        <v>422</v>
      </c>
      <c r="J468" s="11">
        <v>1266</v>
      </c>
      <c r="M468" s="6" t="str" cm="1">
        <f t="array" ref="M468">_xlfn.IFS(J468&lt;=500,"Low",J468&gt;=1500,"Mid",J468&lt;=1500,"High",TRUE,"no")</f>
        <v>High</v>
      </c>
      <c r="N468" s="6">
        <f t="shared" si="14"/>
        <v>10</v>
      </c>
      <c r="O468" s="6" t="str">
        <f t="shared" si="15"/>
        <v>Alice</v>
      </c>
    </row>
    <row r="469" spans="1:15" x14ac:dyDescent="0.3">
      <c r="A469" s="10">
        <v>468</v>
      </c>
      <c r="B469" s="18">
        <v>45394</v>
      </c>
      <c r="C469" s="6" t="s">
        <v>487</v>
      </c>
      <c r="D469" s="6" t="s">
        <v>2</v>
      </c>
      <c r="E469" s="6" t="s">
        <v>14</v>
      </c>
      <c r="F469" s="6">
        <v>60</v>
      </c>
      <c r="G469" s="6" t="s">
        <v>15</v>
      </c>
      <c r="H469" s="6">
        <v>1</v>
      </c>
      <c r="I469" s="6">
        <v>337</v>
      </c>
      <c r="J469" s="11">
        <v>337</v>
      </c>
      <c r="M469" s="6" t="str" cm="1">
        <f t="array" ref="M469">_xlfn.IFS(J469&lt;=500,"Low",J469&gt;=1500,"Mid",J469&lt;=1500,"High",TRUE,"no")</f>
        <v>Low</v>
      </c>
      <c r="N469" s="6">
        <f t="shared" si="14"/>
        <v>2</v>
      </c>
      <c r="O469" s="6" t="str">
        <f t="shared" si="15"/>
        <v>Diana</v>
      </c>
    </row>
    <row r="470" spans="1:15" x14ac:dyDescent="0.3">
      <c r="A470" s="10">
        <v>469</v>
      </c>
      <c r="B470" s="18">
        <v>45395</v>
      </c>
      <c r="C470" s="6" t="s">
        <v>488</v>
      </c>
      <c r="D470" s="6" t="s">
        <v>1</v>
      </c>
      <c r="E470" s="6" t="s">
        <v>14</v>
      </c>
      <c r="F470" s="6">
        <v>60</v>
      </c>
      <c r="G470" s="6" t="s">
        <v>17</v>
      </c>
      <c r="H470" s="6">
        <v>2</v>
      </c>
      <c r="I470" s="6">
        <v>103</v>
      </c>
      <c r="J470" s="11">
        <v>206</v>
      </c>
      <c r="M470" s="6" t="str" cm="1">
        <f t="array" ref="M470">_xlfn.IFS(J470&lt;=500,"Low",J470&gt;=1500,"Mid",J470&lt;=1500,"High",TRUE,"no")</f>
        <v>Low</v>
      </c>
      <c r="N470" s="6">
        <f t="shared" si="14"/>
        <v>1</v>
      </c>
      <c r="O470" s="6" t="str">
        <f t="shared" si="15"/>
        <v>Charlie</v>
      </c>
    </row>
    <row r="471" spans="1:15" x14ac:dyDescent="0.3">
      <c r="A471" s="10">
        <v>470</v>
      </c>
      <c r="B471" s="18">
        <v>45396</v>
      </c>
      <c r="C471" s="6" t="s">
        <v>489</v>
      </c>
      <c r="D471" s="6" t="s">
        <v>1</v>
      </c>
      <c r="E471" s="6" t="s">
        <v>19</v>
      </c>
      <c r="F471" s="6">
        <v>20</v>
      </c>
      <c r="G471" s="6" t="s">
        <v>17</v>
      </c>
      <c r="H471" s="6">
        <v>3</v>
      </c>
      <c r="I471" s="6">
        <v>24</v>
      </c>
      <c r="J471" s="11">
        <v>72</v>
      </c>
      <c r="M471" s="6" t="str" cm="1">
        <f t="array" ref="M471">_xlfn.IFS(J471&lt;=500,"Low",J471&gt;=1500,"Mid",J471&lt;=1500,"High",TRUE,"no")</f>
        <v>Low</v>
      </c>
      <c r="N471" s="6">
        <f t="shared" si="14"/>
        <v>1</v>
      </c>
      <c r="O471" s="6" t="str">
        <f t="shared" si="15"/>
        <v>Charlie</v>
      </c>
    </row>
    <row r="472" spans="1:15" x14ac:dyDescent="0.3">
      <c r="A472" s="10">
        <v>471</v>
      </c>
      <c r="B472" s="18">
        <v>45397</v>
      </c>
      <c r="C472" s="6" t="s">
        <v>490</v>
      </c>
      <c r="D472" s="6" t="s">
        <v>3</v>
      </c>
      <c r="E472" s="6" t="s">
        <v>14</v>
      </c>
      <c r="F472" s="6">
        <v>29</v>
      </c>
      <c r="G472" s="6" t="s">
        <v>27</v>
      </c>
      <c r="H472" s="6">
        <v>4</v>
      </c>
      <c r="I472" s="6">
        <v>271</v>
      </c>
      <c r="J472" s="11">
        <v>1084</v>
      </c>
      <c r="M472" s="6" t="str" cm="1">
        <f t="array" ref="M472">_xlfn.IFS(J472&lt;=500,"Low",J472&gt;=1500,"Mid",J472&lt;=1500,"High",TRUE,"no")</f>
        <v>High</v>
      </c>
      <c r="N472" s="6">
        <f t="shared" si="14"/>
        <v>7</v>
      </c>
      <c r="O472" s="6" t="str">
        <f t="shared" si="15"/>
        <v>Bob</v>
      </c>
    </row>
    <row r="473" spans="1:15" x14ac:dyDescent="0.3">
      <c r="A473" s="10">
        <v>472</v>
      </c>
      <c r="B473" s="18">
        <v>45398</v>
      </c>
      <c r="C473" s="6" t="s">
        <v>491</v>
      </c>
      <c r="D473" s="6" t="s">
        <v>4</v>
      </c>
      <c r="E473" s="6" t="s">
        <v>14</v>
      </c>
      <c r="F473" s="6">
        <v>23</v>
      </c>
      <c r="G473" s="6" t="s">
        <v>23</v>
      </c>
      <c r="H473" s="6">
        <v>1</v>
      </c>
      <c r="I473" s="6">
        <v>101</v>
      </c>
      <c r="J473" s="11">
        <v>101</v>
      </c>
      <c r="M473" s="6" t="str" cm="1">
        <f t="array" ref="M473">_xlfn.IFS(J473&lt;=500,"Low",J473&gt;=1500,"Mid",J473&lt;=1500,"High",TRUE,"no")</f>
        <v>Low</v>
      </c>
      <c r="N473" s="6">
        <f t="shared" si="14"/>
        <v>10</v>
      </c>
      <c r="O473" s="6" t="str">
        <f t="shared" si="15"/>
        <v>Alice</v>
      </c>
    </row>
    <row r="474" spans="1:15" x14ac:dyDescent="0.3">
      <c r="A474" s="10">
        <v>473</v>
      </c>
      <c r="B474" s="18">
        <v>45399</v>
      </c>
      <c r="C474" s="6" t="s">
        <v>492</v>
      </c>
      <c r="D474" s="6" t="s">
        <v>2</v>
      </c>
      <c r="E474" s="6" t="s">
        <v>19</v>
      </c>
      <c r="F474" s="6">
        <v>46</v>
      </c>
      <c r="G474" s="6" t="s">
        <v>27</v>
      </c>
      <c r="H474" s="6">
        <v>1</v>
      </c>
      <c r="I474" s="6">
        <v>396</v>
      </c>
      <c r="J474" s="11">
        <v>396</v>
      </c>
      <c r="M474" s="6" t="str" cm="1">
        <f t="array" ref="M474">_xlfn.IFS(J474&lt;=500,"Low",J474&gt;=1500,"Mid",J474&lt;=1500,"High",TRUE,"no")</f>
        <v>Low</v>
      </c>
      <c r="N474" s="6">
        <f t="shared" si="14"/>
        <v>2</v>
      </c>
      <c r="O474" s="6" t="str">
        <f t="shared" si="15"/>
        <v>Diana</v>
      </c>
    </row>
    <row r="475" spans="1:15" x14ac:dyDescent="0.3">
      <c r="A475" s="10">
        <v>474</v>
      </c>
      <c r="B475" s="18">
        <v>45400</v>
      </c>
      <c r="C475" s="6" t="s">
        <v>493</v>
      </c>
      <c r="D475" s="6" t="s">
        <v>2</v>
      </c>
      <c r="E475" s="6" t="s">
        <v>14</v>
      </c>
      <c r="F475" s="6">
        <v>50</v>
      </c>
      <c r="G475" s="6" t="s">
        <v>27</v>
      </c>
      <c r="H475" s="6">
        <v>2</v>
      </c>
      <c r="I475" s="6">
        <v>102</v>
      </c>
      <c r="J475" s="11">
        <v>204</v>
      </c>
      <c r="M475" s="6" t="str" cm="1">
        <f t="array" ref="M475">_xlfn.IFS(J475&lt;=500,"Low",J475&gt;=1500,"Mid",J475&lt;=1500,"High",TRUE,"no")</f>
        <v>Low</v>
      </c>
      <c r="N475" s="6">
        <f t="shared" si="14"/>
        <v>2</v>
      </c>
      <c r="O475" s="6" t="str">
        <f t="shared" si="15"/>
        <v>Diana</v>
      </c>
    </row>
    <row r="476" spans="1:15" x14ac:dyDescent="0.3">
      <c r="A476" s="10">
        <v>475</v>
      </c>
      <c r="B476" s="18">
        <v>45401</v>
      </c>
      <c r="C476" s="6" t="s">
        <v>494</v>
      </c>
      <c r="D476" s="6" t="s">
        <v>1</v>
      </c>
      <c r="E476" s="6" t="s">
        <v>14</v>
      </c>
      <c r="F476" s="6">
        <v>48</v>
      </c>
      <c r="G476" s="6" t="s">
        <v>17</v>
      </c>
      <c r="H476" s="6">
        <v>3</v>
      </c>
      <c r="I476" s="6">
        <v>139</v>
      </c>
      <c r="J476" s="11">
        <v>417</v>
      </c>
      <c r="M476" s="6" t="str" cm="1">
        <f t="array" ref="M476">_xlfn.IFS(J476&lt;=500,"Low",J476&gt;=1500,"Mid",J476&lt;=1500,"High",TRUE,"no")</f>
        <v>Low</v>
      </c>
      <c r="N476" s="6">
        <f t="shared" si="14"/>
        <v>1</v>
      </c>
      <c r="O476" s="6" t="str">
        <f t="shared" si="15"/>
        <v>Charlie</v>
      </c>
    </row>
    <row r="477" spans="1:15" x14ac:dyDescent="0.3">
      <c r="A477" s="10">
        <v>476</v>
      </c>
      <c r="B477" s="18">
        <v>45402</v>
      </c>
      <c r="C477" s="6" t="s">
        <v>495</v>
      </c>
      <c r="D477" s="6" t="s">
        <v>3</v>
      </c>
      <c r="E477" s="6" t="s">
        <v>14</v>
      </c>
      <c r="F477" s="6">
        <v>33</v>
      </c>
      <c r="G477" s="6" t="s">
        <v>23</v>
      </c>
      <c r="H477" s="6">
        <v>3</v>
      </c>
      <c r="I477" s="6">
        <v>52</v>
      </c>
      <c r="J477" s="11">
        <v>156</v>
      </c>
      <c r="M477" s="6" t="str" cm="1">
        <f t="array" ref="M477">_xlfn.IFS(J477&lt;=500,"Low",J477&gt;=1500,"Mid",J477&lt;=1500,"High",TRUE,"no")</f>
        <v>Low</v>
      </c>
      <c r="N477" s="6">
        <f t="shared" si="14"/>
        <v>7</v>
      </c>
      <c r="O477" s="6" t="str">
        <f t="shared" si="15"/>
        <v>Bob</v>
      </c>
    </row>
    <row r="478" spans="1:15" x14ac:dyDescent="0.3">
      <c r="A478" s="10">
        <v>477</v>
      </c>
      <c r="B478" s="18">
        <v>45403</v>
      </c>
      <c r="C478" s="6" t="s">
        <v>496</v>
      </c>
      <c r="D478" s="6" t="s">
        <v>1</v>
      </c>
      <c r="E478" s="6" t="s">
        <v>19</v>
      </c>
      <c r="F478" s="6">
        <v>49</v>
      </c>
      <c r="G478" s="6" t="s">
        <v>15</v>
      </c>
      <c r="H478" s="6">
        <v>3</v>
      </c>
      <c r="I478" s="6">
        <v>178</v>
      </c>
      <c r="J478" s="11">
        <v>534</v>
      </c>
      <c r="M478" s="6" t="str" cm="1">
        <f t="array" ref="M478">_xlfn.IFS(J478&lt;=500,"Low",J478&gt;=1500,"Mid",J478&lt;=1500,"High",TRUE,"no")</f>
        <v>High</v>
      </c>
      <c r="N478" s="6">
        <f t="shared" si="14"/>
        <v>1</v>
      </c>
      <c r="O478" s="6" t="str">
        <f t="shared" si="15"/>
        <v>Charlie</v>
      </c>
    </row>
    <row r="479" spans="1:15" x14ac:dyDescent="0.3">
      <c r="A479" s="10">
        <v>478</v>
      </c>
      <c r="B479" s="18">
        <v>45404</v>
      </c>
      <c r="C479" s="6" t="s">
        <v>497</v>
      </c>
      <c r="D479" s="6" t="s">
        <v>1</v>
      </c>
      <c r="E479" s="6" t="s">
        <v>14</v>
      </c>
      <c r="F479" s="6">
        <v>21</v>
      </c>
      <c r="G479" s="6" t="s">
        <v>23</v>
      </c>
      <c r="H479" s="6">
        <v>4</v>
      </c>
      <c r="I479" s="6">
        <v>407</v>
      </c>
      <c r="J479" s="11">
        <v>1628</v>
      </c>
      <c r="M479" s="6" t="str" cm="1">
        <f t="array" ref="M479">_xlfn.IFS(J479&lt;=500,"Low",J479&gt;=1500,"Mid",J479&lt;=1500,"High",TRUE,"no")</f>
        <v>Mid</v>
      </c>
      <c r="N479" s="6">
        <f t="shared" si="14"/>
        <v>1</v>
      </c>
      <c r="O479" s="6" t="str">
        <f t="shared" si="15"/>
        <v>Charlie</v>
      </c>
    </row>
    <row r="480" spans="1:15" x14ac:dyDescent="0.3">
      <c r="A480" s="10">
        <v>479</v>
      </c>
      <c r="B480" s="18">
        <v>45405</v>
      </c>
      <c r="C480" s="6" t="s">
        <v>498</v>
      </c>
      <c r="D480" s="6" t="s">
        <v>1</v>
      </c>
      <c r="E480" s="6" t="s">
        <v>14</v>
      </c>
      <c r="F480" s="6">
        <v>26</v>
      </c>
      <c r="G480" s="6" t="s">
        <v>20</v>
      </c>
      <c r="H480" s="6">
        <v>1</v>
      </c>
      <c r="I480" s="6">
        <v>495</v>
      </c>
      <c r="J480" s="11">
        <v>495</v>
      </c>
      <c r="M480" s="6" t="str" cm="1">
        <f t="array" ref="M480">_xlfn.IFS(J480&lt;=500,"Low",J480&gt;=1500,"Mid",J480&lt;=1500,"High",TRUE,"no")</f>
        <v>Low</v>
      </c>
      <c r="N480" s="6">
        <f t="shared" si="14"/>
        <v>1</v>
      </c>
      <c r="O480" s="6" t="str">
        <f t="shared" si="15"/>
        <v>Charlie</v>
      </c>
    </row>
    <row r="481" spans="1:15" x14ac:dyDescent="0.3">
      <c r="A481" s="10">
        <v>480</v>
      </c>
      <c r="B481" s="18">
        <v>45406</v>
      </c>
      <c r="C481" s="6" t="s">
        <v>499</v>
      </c>
      <c r="D481" s="6" t="s">
        <v>1</v>
      </c>
      <c r="E481" s="6" t="s">
        <v>14</v>
      </c>
      <c r="F481" s="6">
        <v>32</v>
      </c>
      <c r="G481" s="6" t="s">
        <v>20</v>
      </c>
      <c r="H481" s="6">
        <v>1</v>
      </c>
      <c r="I481" s="6">
        <v>276</v>
      </c>
      <c r="J481" s="11">
        <v>276</v>
      </c>
      <c r="M481" s="6" t="str" cm="1">
        <f t="array" ref="M481">_xlfn.IFS(J481&lt;=500,"Low",J481&gt;=1500,"Mid",J481&lt;=1500,"High",TRUE,"no")</f>
        <v>Low</v>
      </c>
      <c r="N481" s="6"/>
      <c r="O481" s="6" t="str">
        <f t="shared" si="15"/>
        <v>Charlie</v>
      </c>
    </row>
    <row r="482" spans="1:15" x14ac:dyDescent="0.3">
      <c r="A482" s="10">
        <v>481</v>
      </c>
      <c r="B482" s="18">
        <v>45407</v>
      </c>
      <c r="C482" s="6" t="s">
        <v>500</v>
      </c>
      <c r="D482" s="6" t="s">
        <v>2</v>
      </c>
      <c r="E482" s="6" t="s">
        <v>19</v>
      </c>
      <c r="F482" s="6">
        <v>25</v>
      </c>
      <c r="G482" s="6" t="s">
        <v>17</v>
      </c>
      <c r="H482" s="6">
        <v>5</v>
      </c>
      <c r="I482" s="6">
        <v>459</v>
      </c>
      <c r="J482" s="11">
        <v>2295</v>
      </c>
      <c r="M482" s="6" t="str" cm="1">
        <f t="array" ref="M482">_xlfn.IFS(J482&lt;=500,"Low",J482&gt;=1500,"Mid",J482&lt;=1500,"High",TRUE,"no")</f>
        <v>Mid</v>
      </c>
      <c r="N482" s="6"/>
      <c r="O482" s="6" t="str">
        <f t="shared" si="15"/>
        <v>Diana</v>
      </c>
    </row>
    <row r="483" spans="1:15" x14ac:dyDescent="0.3">
      <c r="A483" s="10">
        <v>482</v>
      </c>
      <c r="B483" s="18">
        <v>45408</v>
      </c>
      <c r="C483" s="6" t="s">
        <v>501</v>
      </c>
      <c r="D483" s="6" t="s">
        <v>2</v>
      </c>
      <c r="E483" s="6" t="s">
        <v>19</v>
      </c>
      <c r="F483" s="6">
        <v>27</v>
      </c>
      <c r="G483" s="6" t="s">
        <v>20</v>
      </c>
      <c r="H483" s="6">
        <v>1</v>
      </c>
      <c r="I483" s="6">
        <v>183</v>
      </c>
      <c r="J483" s="11">
        <v>183</v>
      </c>
      <c r="M483" s="6" t="str" cm="1">
        <f t="array" ref="M483">_xlfn.IFS(J483&lt;=500,"Low",J483&gt;=1500,"Mid",J483&lt;=1500,"High",TRUE,"no")</f>
        <v>Low</v>
      </c>
      <c r="N483" s="6"/>
      <c r="O483" s="6" t="str">
        <f t="shared" si="15"/>
        <v>Diana</v>
      </c>
    </row>
    <row r="484" spans="1:15" x14ac:dyDescent="0.3">
      <c r="A484" s="10">
        <v>483</v>
      </c>
      <c r="B484" s="18">
        <v>45409</v>
      </c>
      <c r="C484" s="6" t="s">
        <v>502</v>
      </c>
      <c r="D484" s="6" t="s">
        <v>1</v>
      </c>
      <c r="E484" s="6" t="s">
        <v>19</v>
      </c>
      <c r="F484" s="6">
        <v>27</v>
      </c>
      <c r="G484" s="6" t="s">
        <v>17</v>
      </c>
      <c r="H484" s="6">
        <v>2</v>
      </c>
      <c r="I484" s="6">
        <v>38</v>
      </c>
      <c r="J484" s="11">
        <v>76</v>
      </c>
      <c r="M484" s="6" t="str" cm="1">
        <f t="array" ref="M484">_xlfn.IFS(J484&lt;=500,"Low",J484&gt;=1500,"Mid",J484&lt;=1500,"High",TRUE,"no")</f>
        <v>Low</v>
      </c>
      <c r="N484" s="6"/>
      <c r="O484" s="6" t="str">
        <f t="shared" si="15"/>
        <v>Charlie</v>
      </c>
    </row>
    <row r="485" spans="1:15" x14ac:dyDescent="0.3">
      <c r="A485" s="10">
        <v>484</v>
      </c>
      <c r="B485" s="18">
        <v>45410</v>
      </c>
      <c r="C485" s="6" t="s">
        <v>503</v>
      </c>
      <c r="D485" s="6" t="s">
        <v>1</v>
      </c>
      <c r="E485" s="6" t="s">
        <v>14</v>
      </c>
      <c r="F485" s="6">
        <v>42</v>
      </c>
      <c r="G485" s="6" t="s">
        <v>27</v>
      </c>
      <c r="H485" s="6">
        <v>5</v>
      </c>
      <c r="I485" s="6">
        <v>463</v>
      </c>
      <c r="J485" s="11">
        <v>2315</v>
      </c>
      <c r="M485" s="6" t="str" cm="1">
        <f t="array" ref="M485">_xlfn.IFS(J485&lt;=500,"Low",J485&gt;=1500,"Mid",J485&lt;=1500,"High",TRUE,"no")</f>
        <v>Mid</v>
      </c>
      <c r="N485" s="6"/>
      <c r="O485" s="6" t="str">
        <f t="shared" si="15"/>
        <v>Charlie</v>
      </c>
    </row>
    <row r="486" spans="1:15" x14ac:dyDescent="0.3">
      <c r="A486" s="10">
        <v>485</v>
      </c>
      <c r="B486" s="18">
        <v>45411</v>
      </c>
      <c r="C486" s="6" t="s">
        <v>504</v>
      </c>
      <c r="D486" s="6" t="s">
        <v>3</v>
      </c>
      <c r="E486" s="6" t="s">
        <v>19</v>
      </c>
      <c r="F486" s="6">
        <v>38</v>
      </c>
      <c r="G486" s="6" t="s">
        <v>27</v>
      </c>
      <c r="H486" s="6">
        <v>1</v>
      </c>
      <c r="I486" s="6">
        <v>340</v>
      </c>
      <c r="J486" s="11">
        <v>340</v>
      </c>
      <c r="M486" s="6" t="str" cm="1">
        <f t="array" ref="M486">_xlfn.IFS(J486&lt;=500,"Low",J486&gt;=1500,"Mid",J486&lt;=1500,"High",TRUE,"no")</f>
        <v>Low</v>
      </c>
      <c r="N486" s="6"/>
      <c r="O486" s="6" t="str">
        <f t="shared" si="15"/>
        <v>Bob</v>
      </c>
    </row>
    <row r="487" spans="1:15" x14ac:dyDescent="0.3">
      <c r="A487" s="10">
        <v>486</v>
      </c>
      <c r="B487" s="18">
        <v>45412</v>
      </c>
      <c r="C487" s="6" t="s">
        <v>505</v>
      </c>
      <c r="D487" s="6" t="s">
        <v>1</v>
      </c>
      <c r="E487" s="6" t="s">
        <v>19</v>
      </c>
      <c r="F487" s="6">
        <v>46</v>
      </c>
      <c r="G487" s="6" t="s">
        <v>20</v>
      </c>
      <c r="H487" s="6">
        <v>4</v>
      </c>
      <c r="I487" s="6">
        <v>42</v>
      </c>
      <c r="J487" s="11">
        <v>168</v>
      </c>
      <c r="M487" s="6" t="str" cm="1">
        <f t="array" ref="M487">_xlfn.IFS(J487&lt;=500,"Low",J487&gt;=1500,"Mid",J487&lt;=1500,"High",TRUE,"no")</f>
        <v>Low</v>
      </c>
      <c r="N487" s="6"/>
      <c r="O487" s="6" t="str">
        <f t="shared" si="15"/>
        <v>Charlie</v>
      </c>
    </row>
    <row r="488" spans="1:15" x14ac:dyDescent="0.3">
      <c r="A488" s="10">
        <v>487</v>
      </c>
      <c r="B488" s="18">
        <v>45413</v>
      </c>
      <c r="C488" s="6" t="s">
        <v>506</v>
      </c>
      <c r="D488" s="6" t="s">
        <v>2</v>
      </c>
      <c r="E488" s="6" t="s">
        <v>14</v>
      </c>
      <c r="F488" s="6">
        <v>35</v>
      </c>
      <c r="G488" s="6" t="s">
        <v>27</v>
      </c>
      <c r="H488" s="6">
        <v>1</v>
      </c>
      <c r="I488" s="6">
        <v>138</v>
      </c>
      <c r="J488" s="11">
        <v>138</v>
      </c>
      <c r="M488" s="6" t="str" cm="1">
        <f t="array" ref="M488">_xlfn.IFS(J488&lt;=500,"Low",J488&gt;=1500,"Mid",J488&lt;=1500,"High",TRUE,"no")</f>
        <v>Low</v>
      </c>
      <c r="N488" s="6"/>
      <c r="O488" s="6" t="str">
        <f t="shared" si="15"/>
        <v>Diana</v>
      </c>
    </row>
    <row r="489" spans="1:15" x14ac:dyDescent="0.3">
      <c r="A489" s="10">
        <v>488</v>
      </c>
      <c r="B489" s="18">
        <v>45414</v>
      </c>
      <c r="C489" s="6" t="s">
        <v>507</v>
      </c>
      <c r="D489" s="6" t="s">
        <v>4</v>
      </c>
      <c r="E489" s="6" t="s">
        <v>19</v>
      </c>
      <c r="F489" s="6">
        <v>35</v>
      </c>
      <c r="G489" s="6" t="s">
        <v>15</v>
      </c>
      <c r="H489" s="6">
        <v>4</v>
      </c>
      <c r="I489" s="6">
        <v>74</v>
      </c>
      <c r="J489" s="11">
        <v>296</v>
      </c>
      <c r="M489" s="6" t="str" cm="1">
        <f t="array" ref="M489">_xlfn.IFS(J489&lt;=500,"Low",J489&gt;=1500,"Mid",J489&lt;=1500,"High",TRUE,"no")</f>
        <v>Low</v>
      </c>
      <c r="N489" s="6"/>
      <c r="O489" s="6" t="str">
        <f t="shared" si="15"/>
        <v>Alice</v>
      </c>
    </row>
    <row r="490" spans="1:15" x14ac:dyDescent="0.3">
      <c r="A490" s="10">
        <v>489</v>
      </c>
      <c r="B490" s="18">
        <v>45415</v>
      </c>
      <c r="C490" s="6" t="s">
        <v>508</v>
      </c>
      <c r="D490" s="6" t="s">
        <v>2</v>
      </c>
      <c r="E490" s="6" t="s">
        <v>14</v>
      </c>
      <c r="F490" s="6">
        <v>19</v>
      </c>
      <c r="G490" s="6" t="s">
        <v>23</v>
      </c>
      <c r="H490" s="6">
        <v>2</v>
      </c>
      <c r="I490" s="6">
        <v>198</v>
      </c>
      <c r="J490" s="11">
        <v>396</v>
      </c>
      <c r="M490" s="6" t="str" cm="1">
        <f t="array" ref="M490">_xlfn.IFS(J490&lt;=500,"Low",J490&gt;=1500,"Mid",J490&lt;=1500,"High",TRUE,"no")</f>
        <v>Low</v>
      </c>
      <c r="N490" s="6"/>
      <c r="O490" s="6" t="str">
        <f t="shared" si="15"/>
        <v>Diana</v>
      </c>
    </row>
    <row r="491" spans="1:15" x14ac:dyDescent="0.3">
      <c r="A491" s="10">
        <v>490</v>
      </c>
      <c r="B491" s="18">
        <v>45416</v>
      </c>
      <c r="C491" s="6" t="s">
        <v>509</v>
      </c>
      <c r="D491" s="6" t="s">
        <v>3</v>
      </c>
      <c r="E491" s="6" t="s">
        <v>19</v>
      </c>
      <c r="F491" s="6">
        <v>49</v>
      </c>
      <c r="G491" s="6" t="s">
        <v>15</v>
      </c>
      <c r="H491" s="6">
        <v>5</v>
      </c>
      <c r="I491" s="6">
        <v>377</v>
      </c>
      <c r="J491" s="11">
        <v>1885</v>
      </c>
      <c r="M491" s="6" t="str" cm="1">
        <f t="array" ref="M491">_xlfn.IFS(J491&lt;=500,"Low",J491&gt;=1500,"Mid",J491&lt;=1500,"High",TRUE,"no")</f>
        <v>Mid</v>
      </c>
      <c r="N491" s="6"/>
      <c r="O491" s="6" t="str">
        <f t="shared" si="15"/>
        <v>Bob</v>
      </c>
    </row>
    <row r="492" spans="1:15" x14ac:dyDescent="0.3">
      <c r="A492" s="10">
        <v>491</v>
      </c>
      <c r="B492" s="18">
        <v>45417</v>
      </c>
      <c r="C492" s="6" t="s">
        <v>510</v>
      </c>
      <c r="D492" s="6" t="s">
        <v>2</v>
      </c>
      <c r="E492" s="6" t="s">
        <v>19</v>
      </c>
      <c r="F492" s="6">
        <v>55</v>
      </c>
      <c r="G492" s="6" t="s">
        <v>17</v>
      </c>
      <c r="H492" s="6">
        <v>5</v>
      </c>
      <c r="I492" s="6">
        <v>442</v>
      </c>
      <c r="J492" s="11">
        <v>2210</v>
      </c>
      <c r="M492" s="6" t="str" cm="1">
        <f t="array" ref="M492">_xlfn.IFS(J492&lt;=500,"Low",J492&gt;=1500,"Mid",J492&lt;=1500,"High",TRUE,"no")</f>
        <v>Mid</v>
      </c>
      <c r="N492" s="6"/>
      <c r="O492" s="6" t="str">
        <f t="shared" si="15"/>
        <v>Diana</v>
      </c>
    </row>
    <row r="493" spans="1:15" x14ac:dyDescent="0.3">
      <c r="A493" s="10">
        <v>492</v>
      </c>
      <c r="B493" s="18">
        <v>45418</v>
      </c>
      <c r="C493" s="6" t="s">
        <v>511</v>
      </c>
      <c r="D493" s="6" t="s">
        <v>4</v>
      </c>
      <c r="E493" s="6" t="s">
        <v>19</v>
      </c>
      <c r="F493" s="6">
        <v>38</v>
      </c>
      <c r="G493" s="6" t="s">
        <v>15</v>
      </c>
      <c r="H493" s="6">
        <v>5</v>
      </c>
      <c r="I493" s="6">
        <v>318</v>
      </c>
      <c r="J493" s="11">
        <v>1590</v>
      </c>
      <c r="M493" s="6" t="str" cm="1">
        <f t="array" ref="M493">_xlfn.IFS(J493&lt;=500,"Low",J493&gt;=1500,"Mid",J493&lt;=1500,"High",TRUE,"no")</f>
        <v>Mid</v>
      </c>
      <c r="N493" s="6"/>
      <c r="O493" s="6" t="str">
        <f t="shared" si="15"/>
        <v>Alice</v>
      </c>
    </row>
    <row r="494" spans="1:15" x14ac:dyDescent="0.3">
      <c r="A494" s="10">
        <v>493</v>
      </c>
      <c r="B494" s="18">
        <v>45419</v>
      </c>
      <c r="C494" s="6" t="s">
        <v>512</v>
      </c>
      <c r="D494" s="6" t="s">
        <v>1</v>
      </c>
      <c r="E494" s="6" t="s">
        <v>19</v>
      </c>
      <c r="F494" s="6">
        <v>57</v>
      </c>
      <c r="G494" s="6" t="s">
        <v>27</v>
      </c>
      <c r="H494" s="6">
        <v>1</v>
      </c>
      <c r="I494" s="6">
        <v>20</v>
      </c>
      <c r="J494" s="11">
        <v>20</v>
      </c>
      <c r="M494" s="6" t="str" cm="1">
        <f t="array" ref="M494">_xlfn.IFS(J494&lt;=500,"Low",J494&gt;=1500,"Mid",J494&lt;=1500,"High",TRUE,"no")</f>
        <v>Low</v>
      </c>
      <c r="N494" s="6"/>
      <c r="O494" s="6" t="str">
        <f t="shared" si="15"/>
        <v>Charlie</v>
      </c>
    </row>
    <row r="495" spans="1:15" x14ac:dyDescent="0.3">
      <c r="A495" s="10">
        <v>494</v>
      </c>
      <c r="B495" s="18">
        <v>45420</v>
      </c>
      <c r="C495" s="6" t="s">
        <v>513</v>
      </c>
      <c r="D495" s="6" t="s">
        <v>4</v>
      </c>
      <c r="E495" s="6" t="s">
        <v>14</v>
      </c>
      <c r="F495" s="6">
        <v>39</v>
      </c>
      <c r="G495" s="6" t="s">
        <v>23</v>
      </c>
      <c r="H495" s="6">
        <v>5</v>
      </c>
      <c r="I495" s="6">
        <v>206</v>
      </c>
      <c r="J495" s="11">
        <v>1030</v>
      </c>
      <c r="M495" s="6" t="str" cm="1">
        <f t="array" ref="M495">_xlfn.IFS(J495&lt;=500,"Low",J495&gt;=1500,"Mid",J495&lt;=1500,"High",TRUE,"no")</f>
        <v>High</v>
      </c>
      <c r="N495" s="6"/>
      <c r="O495" s="6" t="str">
        <f t="shared" si="15"/>
        <v>Alice</v>
      </c>
    </row>
    <row r="496" spans="1:15" x14ac:dyDescent="0.3">
      <c r="A496" s="10">
        <v>495</v>
      </c>
      <c r="B496" s="18">
        <v>45421</v>
      </c>
      <c r="C496" s="6" t="s">
        <v>514</v>
      </c>
      <c r="D496" s="6" t="s">
        <v>1</v>
      </c>
      <c r="E496" s="6" t="s">
        <v>19</v>
      </c>
      <c r="F496" s="6">
        <v>56</v>
      </c>
      <c r="G496" s="6" t="s">
        <v>27</v>
      </c>
      <c r="H496" s="6">
        <v>4</v>
      </c>
      <c r="I496" s="6">
        <v>135</v>
      </c>
      <c r="J496" s="11">
        <v>540</v>
      </c>
      <c r="M496" s="6" t="str" cm="1">
        <f t="array" ref="M496">_xlfn.IFS(J496&lt;=500,"Low",J496&gt;=1500,"Mid",J496&lt;=1500,"High",TRUE,"no")</f>
        <v>High</v>
      </c>
      <c r="N496" s="6"/>
      <c r="O496" s="6" t="str">
        <f t="shared" si="15"/>
        <v>Charlie</v>
      </c>
    </row>
    <row r="497" spans="1:15" x14ac:dyDescent="0.3">
      <c r="A497" s="10">
        <v>496</v>
      </c>
      <c r="B497" s="18">
        <v>45422</v>
      </c>
      <c r="C497" s="6" t="s">
        <v>515</v>
      </c>
      <c r="D497" s="6" t="s">
        <v>1</v>
      </c>
      <c r="E497" s="6" t="s">
        <v>14</v>
      </c>
      <c r="F497" s="6">
        <v>41</v>
      </c>
      <c r="G497" s="6" t="s">
        <v>20</v>
      </c>
      <c r="H497" s="6">
        <v>4</v>
      </c>
      <c r="I497" s="6">
        <v>329</v>
      </c>
      <c r="J497" s="11">
        <v>1316</v>
      </c>
      <c r="M497" s="6" t="str" cm="1">
        <f t="array" ref="M497">_xlfn.IFS(J497&lt;=500,"Low",J497&gt;=1500,"Mid",J497&lt;=1500,"High",TRUE,"no")</f>
        <v>High</v>
      </c>
      <c r="N497" s="6"/>
      <c r="O497" s="6" t="str">
        <f t="shared" si="15"/>
        <v>Charlie</v>
      </c>
    </row>
    <row r="498" spans="1:15" x14ac:dyDescent="0.3">
      <c r="A498" s="10">
        <v>497</v>
      </c>
      <c r="B498" s="18">
        <v>45423</v>
      </c>
      <c r="C498" s="6" t="s">
        <v>516</v>
      </c>
      <c r="D498" s="6" t="s">
        <v>2</v>
      </c>
      <c r="E498" s="6" t="s">
        <v>14</v>
      </c>
      <c r="F498" s="6">
        <v>29</v>
      </c>
      <c r="G498" s="6" t="s">
        <v>20</v>
      </c>
      <c r="H498" s="6">
        <v>3</v>
      </c>
      <c r="I498" s="6">
        <v>478</v>
      </c>
      <c r="J498" s="11">
        <v>1434</v>
      </c>
      <c r="M498" s="6" t="str" cm="1">
        <f t="array" ref="M498">_xlfn.IFS(J498&lt;=500,"Low",J498&gt;=1500,"Mid",J498&lt;=1500,"High",TRUE,"no")</f>
        <v>High</v>
      </c>
      <c r="N498" s="6"/>
      <c r="O498" s="6" t="str">
        <f t="shared" si="15"/>
        <v>Diana</v>
      </c>
    </row>
    <row r="499" spans="1:15" x14ac:dyDescent="0.3">
      <c r="A499" s="10">
        <v>498</v>
      </c>
      <c r="B499" s="18">
        <v>45424</v>
      </c>
      <c r="C499" s="6" t="s">
        <v>517</v>
      </c>
      <c r="D499" s="6" t="s">
        <v>2</v>
      </c>
      <c r="E499" s="6" t="s">
        <v>14</v>
      </c>
      <c r="F499" s="6">
        <v>55</v>
      </c>
      <c r="G499" s="6" t="s">
        <v>17</v>
      </c>
      <c r="H499" s="6">
        <v>4</v>
      </c>
      <c r="I499" s="6">
        <v>345</v>
      </c>
      <c r="J499" s="11">
        <v>1380</v>
      </c>
      <c r="M499" s="6" t="str" cm="1">
        <f t="array" ref="M499">_xlfn.IFS(J499&lt;=500,"Low",J499&gt;=1500,"Mid",J499&lt;=1500,"High",TRUE,"no")</f>
        <v>High</v>
      </c>
      <c r="N499" s="6"/>
      <c r="O499" s="6" t="str">
        <f t="shared" si="15"/>
        <v>Diana</v>
      </c>
    </row>
    <row r="500" spans="1:15" x14ac:dyDescent="0.3">
      <c r="A500" s="10">
        <v>499</v>
      </c>
      <c r="B500" s="18">
        <v>45425</v>
      </c>
      <c r="C500" s="6" t="s">
        <v>518</v>
      </c>
      <c r="D500" s="6" t="s">
        <v>2</v>
      </c>
      <c r="E500" s="6" t="s">
        <v>14</v>
      </c>
      <c r="F500" s="6">
        <v>31</v>
      </c>
      <c r="G500" s="6" t="s">
        <v>27</v>
      </c>
      <c r="H500" s="6">
        <v>5</v>
      </c>
      <c r="I500" s="6">
        <v>302</v>
      </c>
      <c r="J500" s="11">
        <v>1510</v>
      </c>
      <c r="M500" s="6" t="str" cm="1">
        <f t="array" ref="M500">_xlfn.IFS(J500&lt;=500,"Low",J500&gt;=1500,"Mid",J500&lt;=1500,"High",TRUE,"no")</f>
        <v>Mid</v>
      </c>
      <c r="N500" s="6"/>
      <c r="O500" s="6" t="str">
        <f t="shared" si="15"/>
        <v>Diana</v>
      </c>
    </row>
    <row r="501" spans="1:15" x14ac:dyDescent="0.3">
      <c r="A501" s="10">
        <v>500</v>
      </c>
      <c r="B501" s="18">
        <v>45426</v>
      </c>
      <c r="C501" s="6" t="s">
        <v>519</v>
      </c>
      <c r="D501" s="6" t="s">
        <v>3</v>
      </c>
      <c r="E501" s="6" t="s">
        <v>14</v>
      </c>
      <c r="F501" s="6">
        <v>49</v>
      </c>
      <c r="G501" s="6" t="s">
        <v>27</v>
      </c>
      <c r="H501" s="6">
        <v>4</v>
      </c>
      <c r="I501" s="6">
        <v>44</v>
      </c>
      <c r="J501" s="11">
        <v>176</v>
      </c>
      <c r="M501" s="6" t="str" cm="1">
        <f t="array" ref="M501">_xlfn.IFS(J501&lt;=500,"Low",J501&gt;=1500,"Mid",J501&lt;=1500,"High",TRUE,"no")</f>
        <v>Low</v>
      </c>
      <c r="N501" s="6"/>
      <c r="O501" s="6" t="str">
        <f t="shared" si="15"/>
        <v>Bob</v>
      </c>
    </row>
    <row r="502" spans="1:15" x14ac:dyDescent="0.3">
      <c r="A502" s="10">
        <v>501</v>
      </c>
      <c r="B502" s="18">
        <v>45427</v>
      </c>
      <c r="C502" s="6" t="s">
        <v>520</v>
      </c>
      <c r="D502" s="6" t="s">
        <v>2</v>
      </c>
      <c r="E502" s="6" t="s">
        <v>14</v>
      </c>
      <c r="F502" s="6">
        <v>34</v>
      </c>
      <c r="G502" s="6" t="s">
        <v>23</v>
      </c>
      <c r="H502" s="6">
        <v>1</v>
      </c>
      <c r="I502" s="6">
        <v>288</v>
      </c>
      <c r="J502" s="11">
        <v>288</v>
      </c>
      <c r="M502" s="6" t="str" cm="1">
        <f t="array" ref="M502">_xlfn.IFS(J502&lt;=500,"Low",J502&gt;=1500,"Mid",J502&lt;=1500,"High",TRUE,"no")</f>
        <v>Low</v>
      </c>
      <c r="N502" s="6"/>
      <c r="O502" s="6" t="str">
        <f t="shared" si="15"/>
        <v>Diana</v>
      </c>
    </row>
    <row r="503" spans="1:15" x14ac:dyDescent="0.3">
      <c r="A503" s="10">
        <v>502</v>
      </c>
      <c r="B503" s="18">
        <v>45428</v>
      </c>
      <c r="C503" s="6" t="s">
        <v>521</v>
      </c>
      <c r="D503" s="6" t="s">
        <v>3</v>
      </c>
      <c r="E503" s="6" t="s">
        <v>19</v>
      </c>
      <c r="F503" s="6">
        <v>19</v>
      </c>
      <c r="G503" s="6" t="s">
        <v>20</v>
      </c>
      <c r="H503" s="6">
        <v>4</v>
      </c>
      <c r="I503" s="6">
        <v>368</v>
      </c>
      <c r="J503" s="11">
        <v>1472</v>
      </c>
      <c r="M503" s="6" t="str" cm="1">
        <f t="array" ref="M503">_xlfn.IFS(J503&lt;=500,"Low",J503&gt;=1500,"Mid",J503&lt;=1500,"High",TRUE,"no")</f>
        <v>High</v>
      </c>
      <c r="N503" s="6"/>
      <c r="O503" s="6" t="str">
        <f t="shared" si="15"/>
        <v>Bob</v>
      </c>
    </row>
    <row r="504" spans="1:15" x14ac:dyDescent="0.3">
      <c r="A504" s="10">
        <v>503</v>
      </c>
      <c r="B504" s="18">
        <v>45429</v>
      </c>
      <c r="C504" s="6" t="s">
        <v>522</v>
      </c>
      <c r="D504" s="6" t="s">
        <v>2</v>
      </c>
      <c r="E504" s="6" t="s">
        <v>14</v>
      </c>
      <c r="F504" s="6">
        <v>48</v>
      </c>
      <c r="G504" s="6" t="s">
        <v>20</v>
      </c>
      <c r="H504" s="6">
        <v>4</v>
      </c>
      <c r="I504" s="6">
        <v>310</v>
      </c>
      <c r="J504" s="11">
        <v>1240</v>
      </c>
      <c r="M504" s="6" t="str" cm="1">
        <f t="array" ref="M504">_xlfn.IFS(J504&lt;=500,"Low",J504&gt;=1500,"Mid",J504&lt;=1500,"High",TRUE,"no")</f>
        <v>High</v>
      </c>
      <c r="N504" s="6"/>
      <c r="O504" s="6" t="str">
        <f t="shared" si="15"/>
        <v>Diana</v>
      </c>
    </row>
    <row r="505" spans="1:15" x14ac:dyDescent="0.3">
      <c r="A505" s="10">
        <v>504</v>
      </c>
      <c r="B505" s="18">
        <v>45430</v>
      </c>
      <c r="C505" s="6" t="s">
        <v>523</v>
      </c>
      <c r="D505" s="6" t="s">
        <v>1</v>
      </c>
      <c r="E505" s="6" t="s">
        <v>14</v>
      </c>
      <c r="F505" s="6">
        <v>55</v>
      </c>
      <c r="G505" s="6" t="s">
        <v>20</v>
      </c>
      <c r="H505" s="6">
        <v>3</v>
      </c>
      <c r="I505" s="6">
        <v>418</v>
      </c>
      <c r="J505" s="11">
        <v>1254</v>
      </c>
      <c r="M505" s="6" t="str" cm="1">
        <f t="array" ref="M505">_xlfn.IFS(J505&lt;=500,"Low",J505&gt;=1500,"Mid",J505&lt;=1500,"High",TRUE,"no")</f>
        <v>High</v>
      </c>
      <c r="N505" s="6"/>
      <c r="O505" s="6" t="str">
        <f t="shared" si="15"/>
        <v>Charlie</v>
      </c>
    </row>
    <row r="506" spans="1:15" x14ac:dyDescent="0.3">
      <c r="A506" s="10">
        <v>505</v>
      </c>
      <c r="B506" s="18">
        <v>45431</v>
      </c>
      <c r="C506" s="6" t="s">
        <v>524</v>
      </c>
      <c r="D506" s="6" t="s">
        <v>3</v>
      </c>
      <c r="E506" s="6" t="s">
        <v>19</v>
      </c>
      <c r="F506" s="6">
        <v>19</v>
      </c>
      <c r="G506" s="6" t="s">
        <v>20</v>
      </c>
      <c r="H506" s="6">
        <v>4</v>
      </c>
      <c r="I506" s="6">
        <v>354</v>
      </c>
      <c r="J506" s="11">
        <v>1416</v>
      </c>
      <c r="M506" s="6" t="str" cm="1">
        <f t="array" ref="M506">_xlfn.IFS(J506&lt;=500,"Low",J506&gt;=1500,"Mid",J506&lt;=1500,"High",TRUE,"no")</f>
        <v>High</v>
      </c>
      <c r="N506" s="6"/>
      <c r="O506" s="6" t="str">
        <f t="shared" si="15"/>
        <v>Bob</v>
      </c>
    </row>
    <row r="507" spans="1:15" x14ac:dyDescent="0.3">
      <c r="A507" s="10">
        <v>506</v>
      </c>
      <c r="B507" s="18">
        <v>45432</v>
      </c>
      <c r="C507" s="6" t="s">
        <v>525</v>
      </c>
      <c r="D507" s="6" t="s">
        <v>4</v>
      </c>
      <c r="E507" s="6" t="s">
        <v>19</v>
      </c>
      <c r="F507" s="6">
        <v>50</v>
      </c>
      <c r="G507" s="6" t="s">
        <v>17</v>
      </c>
      <c r="H507" s="6">
        <v>2</v>
      </c>
      <c r="I507" s="6">
        <v>27</v>
      </c>
      <c r="J507" s="11">
        <v>54</v>
      </c>
      <c r="M507" s="6" t="str" cm="1">
        <f t="array" ref="M507">_xlfn.IFS(J507&lt;=500,"Low",J507&gt;=1500,"Mid",J507&lt;=1500,"High",TRUE,"no")</f>
        <v>Low</v>
      </c>
      <c r="N507" s="6"/>
      <c r="O507" s="6" t="str">
        <f t="shared" si="15"/>
        <v>Alice</v>
      </c>
    </row>
    <row r="508" spans="1:15" x14ac:dyDescent="0.3">
      <c r="A508" s="10">
        <v>507</v>
      </c>
      <c r="B508" s="18">
        <v>45433</v>
      </c>
      <c r="C508" s="6" t="s">
        <v>526</v>
      </c>
      <c r="D508" s="6" t="s">
        <v>3</v>
      </c>
      <c r="E508" s="6" t="s">
        <v>19</v>
      </c>
      <c r="F508" s="6">
        <v>18</v>
      </c>
      <c r="G508" s="6" t="s">
        <v>23</v>
      </c>
      <c r="H508" s="6">
        <v>5</v>
      </c>
      <c r="I508" s="6">
        <v>182</v>
      </c>
      <c r="J508" s="11">
        <v>910</v>
      </c>
      <c r="M508" s="6" t="str" cm="1">
        <f t="array" ref="M508">_xlfn.IFS(J508&lt;=500,"Low",J508&gt;=1500,"Mid",J508&lt;=1500,"High",TRUE,"no")</f>
        <v>High</v>
      </c>
      <c r="N508" s="6"/>
      <c r="O508" s="6" t="str">
        <f t="shared" si="15"/>
        <v>Bob</v>
      </c>
    </row>
    <row r="509" spans="1:15" x14ac:dyDescent="0.3">
      <c r="A509" s="10">
        <v>508</v>
      </c>
      <c r="B509" s="18">
        <v>45434</v>
      </c>
      <c r="C509" s="6" t="s">
        <v>527</v>
      </c>
      <c r="D509" s="6" t="s">
        <v>3</v>
      </c>
      <c r="E509" s="6" t="s">
        <v>19</v>
      </c>
      <c r="F509" s="6">
        <v>50</v>
      </c>
      <c r="G509" s="6" t="s">
        <v>23</v>
      </c>
      <c r="H509" s="6">
        <v>2</v>
      </c>
      <c r="I509" s="6">
        <v>88</v>
      </c>
      <c r="J509" s="11">
        <v>176</v>
      </c>
      <c r="M509" s="6" t="str" cm="1">
        <f t="array" ref="M509">_xlfn.IFS(J509&lt;=500,"Low",J509&gt;=1500,"Mid",J509&lt;=1500,"High",TRUE,"no")</f>
        <v>Low</v>
      </c>
      <c r="N509" s="6"/>
      <c r="O509" s="6" t="str">
        <f t="shared" si="15"/>
        <v>Bob</v>
      </c>
    </row>
    <row r="510" spans="1:15" x14ac:dyDescent="0.3">
      <c r="A510" s="10">
        <v>509</v>
      </c>
      <c r="B510" s="18">
        <v>45435</v>
      </c>
      <c r="C510" s="6" t="s">
        <v>528</v>
      </c>
      <c r="D510" s="6" t="s">
        <v>4</v>
      </c>
      <c r="E510" s="6" t="s">
        <v>19</v>
      </c>
      <c r="F510" s="6">
        <v>31</v>
      </c>
      <c r="G510" s="6" t="s">
        <v>27</v>
      </c>
      <c r="H510" s="6">
        <v>1</v>
      </c>
      <c r="I510" s="6">
        <v>182</v>
      </c>
      <c r="J510" s="11">
        <v>182</v>
      </c>
      <c r="M510" s="6" t="str" cm="1">
        <f t="array" ref="M510">_xlfn.IFS(J510&lt;=500,"Low",J510&gt;=1500,"Mid",J510&lt;=1500,"High",TRUE,"no")</f>
        <v>Low</v>
      </c>
      <c r="N510" s="6"/>
      <c r="O510" s="6" t="str">
        <f t="shared" si="15"/>
        <v>Alice</v>
      </c>
    </row>
    <row r="511" spans="1:15" x14ac:dyDescent="0.3">
      <c r="A511" s="10">
        <v>510</v>
      </c>
      <c r="B511" s="18">
        <v>45436</v>
      </c>
      <c r="C511" s="6" t="s">
        <v>529</v>
      </c>
      <c r="D511" s="6" t="s">
        <v>3</v>
      </c>
      <c r="E511" s="6" t="s">
        <v>19</v>
      </c>
      <c r="F511" s="6">
        <v>41</v>
      </c>
      <c r="G511" s="6" t="s">
        <v>15</v>
      </c>
      <c r="H511" s="6">
        <v>2</v>
      </c>
      <c r="I511" s="6">
        <v>349</v>
      </c>
      <c r="J511" s="11">
        <v>698</v>
      </c>
      <c r="M511" s="6" t="str" cm="1">
        <f t="array" ref="M511">_xlfn.IFS(J511&lt;=500,"Low",J511&gt;=1500,"Mid",J511&lt;=1500,"High",TRUE,"no")</f>
        <v>High</v>
      </c>
      <c r="N511" s="6"/>
      <c r="O511" s="6" t="str">
        <f t="shared" si="15"/>
        <v>Bob</v>
      </c>
    </row>
    <row r="512" spans="1:15" x14ac:dyDescent="0.3">
      <c r="A512" s="10">
        <v>511</v>
      </c>
      <c r="B512" s="18">
        <v>45437</v>
      </c>
      <c r="C512" s="6" t="s">
        <v>530</v>
      </c>
      <c r="D512" s="6" t="s">
        <v>1</v>
      </c>
      <c r="E512" s="6" t="s">
        <v>14</v>
      </c>
      <c r="F512" s="6">
        <v>56</v>
      </c>
      <c r="G512" s="6" t="s">
        <v>17</v>
      </c>
      <c r="H512" s="6">
        <v>5</v>
      </c>
      <c r="I512" s="6">
        <v>133</v>
      </c>
      <c r="J512" s="11">
        <v>665</v>
      </c>
      <c r="M512" s="6" t="str" cm="1">
        <f t="array" ref="M512">_xlfn.IFS(J512&lt;=500,"Low",J512&gt;=1500,"Mid",J512&lt;=1500,"High",TRUE,"no")</f>
        <v>High</v>
      </c>
      <c r="N512" s="6"/>
      <c r="O512" s="6" t="str">
        <f t="shared" si="15"/>
        <v>Charlie</v>
      </c>
    </row>
    <row r="513" spans="1:15" x14ac:dyDescent="0.3">
      <c r="A513" s="10">
        <v>512</v>
      </c>
      <c r="B513" s="18">
        <v>45438</v>
      </c>
      <c r="C513" s="6" t="s">
        <v>531</v>
      </c>
      <c r="D513" s="6" t="s">
        <v>2</v>
      </c>
      <c r="E513" s="6" t="s">
        <v>19</v>
      </c>
      <c r="F513" s="6">
        <v>21</v>
      </c>
      <c r="G513" s="6" t="s">
        <v>23</v>
      </c>
      <c r="H513" s="6">
        <v>5</v>
      </c>
      <c r="I513" s="6">
        <v>74</v>
      </c>
      <c r="J513" s="11">
        <v>370</v>
      </c>
      <c r="M513" s="6" t="str" cm="1">
        <f t="array" ref="M513">_xlfn.IFS(J513&lt;=500,"Low",J513&gt;=1500,"Mid",J513&lt;=1500,"High",TRUE,"no")</f>
        <v>Low</v>
      </c>
      <c r="N513" s="6"/>
      <c r="O513" s="6" t="str">
        <f t="shared" si="15"/>
        <v>Diana</v>
      </c>
    </row>
    <row r="514" spans="1:15" x14ac:dyDescent="0.3">
      <c r="A514" s="10">
        <v>513</v>
      </c>
      <c r="B514" s="18">
        <v>45439</v>
      </c>
      <c r="C514" s="6" t="s">
        <v>532</v>
      </c>
      <c r="D514" s="6" t="s">
        <v>4</v>
      </c>
      <c r="E514" s="6" t="s">
        <v>14</v>
      </c>
      <c r="F514" s="6">
        <v>33</v>
      </c>
      <c r="G514" s="6" t="s">
        <v>17</v>
      </c>
      <c r="H514" s="6">
        <v>3</v>
      </c>
      <c r="I514" s="6">
        <v>101</v>
      </c>
      <c r="J514" s="11">
        <v>303</v>
      </c>
      <c r="M514" s="6" t="str" cm="1">
        <f t="array" ref="M514">_xlfn.IFS(J514&lt;=500,"Low",J514&gt;=1500,"Mid",J514&lt;=1500,"High",TRUE,"no")</f>
        <v>Low</v>
      </c>
      <c r="N514" s="6"/>
      <c r="O514" s="6" t="str">
        <f t="shared" si="15"/>
        <v>Alice</v>
      </c>
    </row>
    <row r="515" spans="1:15" x14ac:dyDescent="0.3">
      <c r="A515" s="10">
        <v>514</v>
      </c>
      <c r="B515" s="18">
        <v>45440</v>
      </c>
      <c r="C515" s="6" t="s">
        <v>533</v>
      </c>
      <c r="D515" s="6" t="s">
        <v>2</v>
      </c>
      <c r="E515" s="6" t="s">
        <v>14</v>
      </c>
      <c r="F515" s="6">
        <v>49</v>
      </c>
      <c r="G515" s="6" t="s">
        <v>23</v>
      </c>
      <c r="H515" s="6">
        <v>1</v>
      </c>
      <c r="I515" s="6">
        <v>317</v>
      </c>
      <c r="J515" s="11">
        <v>317</v>
      </c>
      <c r="M515" s="6" t="str" cm="1">
        <f t="array" ref="M515">_xlfn.IFS(J515&lt;=500,"Low",J515&gt;=1500,"Mid",J515&lt;=1500,"High",TRUE,"no")</f>
        <v>Low</v>
      </c>
      <c r="N515" s="6"/>
      <c r="O515" s="6" t="str">
        <f t="shared" ref="O515:O578" si="16">INDEX(D515:D1514,MATCH($D$2,$D$2:$D$1001,0))</f>
        <v>Diana</v>
      </c>
    </row>
    <row r="516" spans="1:15" x14ac:dyDescent="0.3">
      <c r="A516" s="10">
        <v>515</v>
      </c>
      <c r="B516" s="18">
        <v>45441</v>
      </c>
      <c r="C516" s="6" t="s">
        <v>534</v>
      </c>
      <c r="D516" s="6" t="s">
        <v>1</v>
      </c>
      <c r="E516" s="6" t="s">
        <v>19</v>
      </c>
      <c r="F516" s="6">
        <v>48</v>
      </c>
      <c r="G516" s="6" t="s">
        <v>15</v>
      </c>
      <c r="H516" s="6">
        <v>2</v>
      </c>
      <c r="I516" s="6">
        <v>249</v>
      </c>
      <c r="J516" s="11">
        <v>498</v>
      </c>
      <c r="M516" s="6" t="str" cm="1">
        <f t="array" ref="M516">_xlfn.IFS(J516&lt;=500,"Low",J516&gt;=1500,"Mid",J516&lt;=1500,"High",TRUE,"no")</f>
        <v>Low</v>
      </c>
      <c r="N516" s="6"/>
      <c r="O516" s="6" t="str">
        <f t="shared" si="16"/>
        <v>Charlie</v>
      </c>
    </row>
    <row r="517" spans="1:15" x14ac:dyDescent="0.3">
      <c r="A517" s="10">
        <v>516</v>
      </c>
      <c r="B517" s="18">
        <v>45442</v>
      </c>
      <c r="C517" s="6" t="s">
        <v>535</v>
      </c>
      <c r="D517" s="6" t="s">
        <v>4</v>
      </c>
      <c r="E517" s="6" t="s">
        <v>14</v>
      </c>
      <c r="F517" s="6">
        <v>46</v>
      </c>
      <c r="G517" s="6" t="s">
        <v>17</v>
      </c>
      <c r="H517" s="6">
        <v>5</v>
      </c>
      <c r="I517" s="6">
        <v>52</v>
      </c>
      <c r="J517" s="11">
        <v>260</v>
      </c>
      <c r="M517" s="6" t="str" cm="1">
        <f t="array" ref="M517">_xlfn.IFS(J517&lt;=500,"Low",J517&gt;=1500,"Mid",J517&lt;=1500,"High",TRUE,"no")</f>
        <v>Low</v>
      </c>
      <c r="N517" s="6"/>
      <c r="O517" s="6" t="str">
        <f t="shared" si="16"/>
        <v>Alice</v>
      </c>
    </row>
    <row r="518" spans="1:15" x14ac:dyDescent="0.3">
      <c r="A518" s="10">
        <v>517</v>
      </c>
      <c r="B518" s="18">
        <v>45443</v>
      </c>
      <c r="C518" s="6" t="s">
        <v>536</v>
      </c>
      <c r="D518" s="6" t="s">
        <v>2</v>
      </c>
      <c r="E518" s="6" t="s">
        <v>14</v>
      </c>
      <c r="F518" s="6">
        <v>48</v>
      </c>
      <c r="G518" s="6" t="s">
        <v>23</v>
      </c>
      <c r="H518" s="6">
        <v>5</v>
      </c>
      <c r="I518" s="6">
        <v>201</v>
      </c>
      <c r="J518" s="11">
        <v>1005</v>
      </c>
      <c r="M518" s="6" t="str" cm="1">
        <f t="array" ref="M518">_xlfn.IFS(J518&lt;=500,"Low",J518&gt;=1500,"Mid",J518&lt;=1500,"High",TRUE,"no")</f>
        <v>High</v>
      </c>
      <c r="N518" s="6"/>
      <c r="O518" s="6" t="str">
        <f t="shared" si="16"/>
        <v>Diana</v>
      </c>
    </row>
    <row r="519" spans="1:15" x14ac:dyDescent="0.3">
      <c r="A519" s="10">
        <v>518</v>
      </c>
      <c r="B519" s="18">
        <v>45444</v>
      </c>
      <c r="C519" s="6" t="s">
        <v>537</v>
      </c>
      <c r="D519" s="6" t="s">
        <v>2</v>
      </c>
      <c r="E519" s="6" t="s">
        <v>14</v>
      </c>
      <c r="F519" s="6">
        <v>24</v>
      </c>
      <c r="G519" s="6" t="s">
        <v>17</v>
      </c>
      <c r="H519" s="6">
        <v>5</v>
      </c>
      <c r="I519" s="6">
        <v>292</v>
      </c>
      <c r="J519" s="11">
        <v>1460</v>
      </c>
      <c r="M519" s="6" t="str" cm="1">
        <f t="array" ref="M519">_xlfn.IFS(J519&lt;=500,"Low",J519&gt;=1500,"Mid",J519&lt;=1500,"High",TRUE,"no")</f>
        <v>High</v>
      </c>
      <c r="N519" s="6"/>
      <c r="O519" s="6" t="str">
        <f t="shared" si="16"/>
        <v>Diana</v>
      </c>
    </row>
    <row r="520" spans="1:15" x14ac:dyDescent="0.3">
      <c r="A520" s="10">
        <v>519</v>
      </c>
      <c r="B520" s="18">
        <v>45445</v>
      </c>
      <c r="C520" s="6" t="s">
        <v>538</v>
      </c>
      <c r="D520" s="6" t="s">
        <v>1</v>
      </c>
      <c r="E520" s="6" t="s">
        <v>14</v>
      </c>
      <c r="F520" s="6">
        <v>59</v>
      </c>
      <c r="G520" s="6" t="s">
        <v>20</v>
      </c>
      <c r="H520" s="6">
        <v>5</v>
      </c>
      <c r="I520" s="6">
        <v>382</v>
      </c>
      <c r="J520" s="11">
        <v>1910</v>
      </c>
      <c r="M520" s="6" t="str" cm="1">
        <f t="array" ref="M520">_xlfn.IFS(J520&lt;=500,"Low",J520&gt;=1500,"Mid",J520&lt;=1500,"High",TRUE,"no")</f>
        <v>Mid</v>
      </c>
      <c r="N520" s="6"/>
      <c r="O520" s="6" t="str">
        <f t="shared" si="16"/>
        <v>Charlie</v>
      </c>
    </row>
    <row r="521" spans="1:15" x14ac:dyDescent="0.3">
      <c r="A521" s="10">
        <v>520</v>
      </c>
      <c r="B521" s="18">
        <v>45446</v>
      </c>
      <c r="C521" s="6" t="s">
        <v>539</v>
      </c>
      <c r="D521" s="6" t="s">
        <v>2</v>
      </c>
      <c r="E521" s="6" t="s">
        <v>14</v>
      </c>
      <c r="F521" s="6">
        <v>31</v>
      </c>
      <c r="G521" s="6" t="s">
        <v>15</v>
      </c>
      <c r="H521" s="6">
        <v>3</v>
      </c>
      <c r="I521" s="6">
        <v>171</v>
      </c>
      <c r="J521" s="11">
        <v>513</v>
      </c>
      <c r="M521" s="6" t="str" cm="1">
        <f t="array" ref="M521">_xlfn.IFS(J521&lt;=500,"Low",J521&gt;=1500,"Mid",J521&lt;=1500,"High",TRUE,"no")</f>
        <v>High</v>
      </c>
      <c r="N521" s="6"/>
      <c r="O521" s="6" t="str">
        <f t="shared" si="16"/>
        <v>Diana</v>
      </c>
    </row>
    <row r="522" spans="1:15" x14ac:dyDescent="0.3">
      <c r="A522" s="10">
        <v>521</v>
      </c>
      <c r="B522" s="18">
        <v>45447</v>
      </c>
      <c r="C522" s="6" t="s">
        <v>540</v>
      </c>
      <c r="D522" s="6" t="s">
        <v>1</v>
      </c>
      <c r="E522" s="6" t="s">
        <v>19</v>
      </c>
      <c r="F522" s="6">
        <v>39</v>
      </c>
      <c r="G522" s="6" t="s">
        <v>15</v>
      </c>
      <c r="H522" s="6">
        <v>5</v>
      </c>
      <c r="I522" s="6">
        <v>59</v>
      </c>
      <c r="J522" s="11">
        <v>295</v>
      </c>
      <c r="M522" s="6" t="str" cm="1">
        <f t="array" ref="M522">_xlfn.IFS(J522&lt;=500,"Low",J522&gt;=1500,"Mid",J522&lt;=1500,"High",TRUE,"no")</f>
        <v>Low</v>
      </c>
      <c r="N522" s="6"/>
      <c r="O522" s="6" t="str">
        <f t="shared" si="16"/>
        <v>Charlie</v>
      </c>
    </row>
    <row r="523" spans="1:15" x14ac:dyDescent="0.3">
      <c r="A523" s="10">
        <v>522</v>
      </c>
      <c r="B523" s="18">
        <v>45448</v>
      </c>
      <c r="C523" s="6" t="s">
        <v>541</v>
      </c>
      <c r="D523" s="6" t="s">
        <v>3</v>
      </c>
      <c r="E523" s="6" t="s">
        <v>19</v>
      </c>
      <c r="F523" s="6">
        <v>60</v>
      </c>
      <c r="G523" s="6" t="s">
        <v>23</v>
      </c>
      <c r="H523" s="6">
        <v>1</v>
      </c>
      <c r="I523" s="6">
        <v>61</v>
      </c>
      <c r="J523" s="11">
        <v>61</v>
      </c>
      <c r="M523" s="6" t="str" cm="1">
        <f t="array" ref="M523">_xlfn.IFS(J523&lt;=500,"Low",J523&gt;=1500,"Mid",J523&lt;=1500,"High",TRUE,"no")</f>
        <v>Low</v>
      </c>
      <c r="N523" s="6"/>
      <c r="O523" s="6" t="str">
        <f t="shared" si="16"/>
        <v>Bob</v>
      </c>
    </row>
    <row r="524" spans="1:15" x14ac:dyDescent="0.3">
      <c r="A524" s="10">
        <v>523</v>
      </c>
      <c r="B524" s="18">
        <v>45449</v>
      </c>
      <c r="C524" s="6" t="s">
        <v>542</v>
      </c>
      <c r="D524" s="6" t="s">
        <v>1</v>
      </c>
      <c r="E524" s="6" t="s">
        <v>14</v>
      </c>
      <c r="F524" s="6">
        <v>60</v>
      </c>
      <c r="G524" s="6" t="s">
        <v>15</v>
      </c>
      <c r="H524" s="6">
        <v>1</v>
      </c>
      <c r="I524" s="6">
        <v>412</v>
      </c>
      <c r="J524" s="11">
        <v>412</v>
      </c>
      <c r="M524" s="6" t="str" cm="1">
        <f t="array" ref="M524">_xlfn.IFS(J524&lt;=500,"Low",J524&gt;=1500,"Mid",J524&lt;=1500,"High",TRUE,"no")</f>
        <v>Low</v>
      </c>
      <c r="N524" s="6"/>
      <c r="O524" s="6" t="str">
        <f t="shared" si="16"/>
        <v>Charlie</v>
      </c>
    </row>
    <row r="525" spans="1:15" x14ac:dyDescent="0.3">
      <c r="A525" s="10">
        <v>524</v>
      </c>
      <c r="B525" s="18">
        <v>45450</v>
      </c>
      <c r="C525" s="6" t="s">
        <v>543</v>
      </c>
      <c r="D525" s="6" t="s">
        <v>3</v>
      </c>
      <c r="E525" s="6" t="s">
        <v>19</v>
      </c>
      <c r="F525" s="6">
        <v>51</v>
      </c>
      <c r="G525" s="6" t="s">
        <v>15</v>
      </c>
      <c r="H525" s="6">
        <v>2</v>
      </c>
      <c r="I525" s="6">
        <v>438</v>
      </c>
      <c r="J525" s="11">
        <v>876</v>
      </c>
      <c r="M525" s="6" t="str" cm="1">
        <f t="array" ref="M525">_xlfn.IFS(J525&lt;=500,"Low",J525&gt;=1500,"Mid",J525&lt;=1500,"High",TRUE,"no")</f>
        <v>High</v>
      </c>
      <c r="N525" s="6"/>
      <c r="O525" s="6" t="str">
        <f t="shared" si="16"/>
        <v>Bob</v>
      </c>
    </row>
    <row r="526" spans="1:15" x14ac:dyDescent="0.3">
      <c r="A526" s="10">
        <v>525</v>
      </c>
      <c r="B526" s="18">
        <v>45451</v>
      </c>
      <c r="C526" s="6" t="s">
        <v>544</v>
      </c>
      <c r="D526" s="6" t="s">
        <v>4</v>
      </c>
      <c r="E526" s="6" t="s">
        <v>14</v>
      </c>
      <c r="F526" s="6">
        <v>35</v>
      </c>
      <c r="G526" s="6" t="s">
        <v>20</v>
      </c>
      <c r="H526" s="6">
        <v>3</v>
      </c>
      <c r="I526" s="6">
        <v>277</v>
      </c>
      <c r="J526" s="11">
        <v>831</v>
      </c>
      <c r="M526" s="6" t="str" cm="1">
        <f t="array" ref="M526">_xlfn.IFS(J526&lt;=500,"Low",J526&gt;=1500,"Mid",J526&lt;=1500,"High",TRUE,"no")</f>
        <v>High</v>
      </c>
      <c r="N526" s="6"/>
      <c r="O526" s="6" t="str">
        <f t="shared" si="16"/>
        <v>Alice</v>
      </c>
    </row>
    <row r="527" spans="1:15" x14ac:dyDescent="0.3">
      <c r="A527" s="10">
        <v>526</v>
      </c>
      <c r="B527" s="18">
        <v>45452</v>
      </c>
      <c r="C527" s="6" t="s">
        <v>545</v>
      </c>
      <c r="D527" s="6" t="s">
        <v>2</v>
      </c>
      <c r="E527" s="6" t="s">
        <v>14</v>
      </c>
      <c r="F527" s="6">
        <v>39</v>
      </c>
      <c r="G527" s="6" t="s">
        <v>20</v>
      </c>
      <c r="H527" s="6">
        <v>4</v>
      </c>
      <c r="I527" s="6">
        <v>167</v>
      </c>
      <c r="J527" s="11">
        <v>668</v>
      </c>
      <c r="M527" s="6" t="str" cm="1">
        <f t="array" ref="M527">_xlfn.IFS(J527&lt;=500,"Low",J527&gt;=1500,"Mid",J527&lt;=1500,"High",TRUE,"no")</f>
        <v>High</v>
      </c>
      <c r="N527" s="6"/>
      <c r="O527" s="6" t="str">
        <f t="shared" si="16"/>
        <v>Diana</v>
      </c>
    </row>
    <row r="528" spans="1:15" x14ac:dyDescent="0.3">
      <c r="A528" s="10">
        <v>527</v>
      </c>
      <c r="B528" s="18">
        <v>45453</v>
      </c>
      <c r="C528" s="6" t="s">
        <v>546</v>
      </c>
      <c r="D528" s="6" t="s">
        <v>1</v>
      </c>
      <c r="E528" s="6" t="s">
        <v>19</v>
      </c>
      <c r="F528" s="6">
        <v>43</v>
      </c>
      <c r="G528" s="6" t="s">
        <v>20</v>
      </c>
      <c r="H528" s="6">
        <v>1</v>
      </c>
      <c r="I528" s="6">
        <v>356</v>
      </c>
      <c r="J528" s="11">
        <v>356</v>
      </c>
      <c r="M528" s="6" t="str" cm="1">
        <f t="array" ref="M528">_xlfn.IFS(J528&lt;=500,"Low",J528&gt;=1500,"Mid",J528&lt;=1500,"High",TRUE,"no")</f>
        <v>Low</v>
      </c>
      <c r="N528" s="6"/>
      <c r="O528" s="6" t="str">
        <f t="shared" si="16"/>
        <v>Charlie</v>
      </c>
    </row>
    <row r="529" spans="1:15" x14ac:dyDescent="0.3">
      <c r="A529" s="10">
        <v>528</v>
      </c>
      <c r="B529" s="18">
        <v>45454</v>
      </c>
      <c r="C529" s="6" t="s">
        <v>547</v>
      </c>
      <c r="D529" s="6" t="s">
        <v>1</v>
      </c>
      <c r="E529" s="6" t="s">
        <v>19</v>
      </c>
      <c r="F529" s="6">
        <v>30</v>
      </c>
      <c r="G529" s="6" t="s">
        <v>17</v>
      </c>
      <c r="H529" s="6">
        <v>4</v>
      </c>
      <c r="I529" s="6">
        <v>359</v>
      </c>
      <c r="J529" s="11">
        <v>1436</v>
      </c>
      <c r="M529" s="6" t="str" cm="1">
        <f t="array" ref="M529">_xlfn.IFS(J529&lt;=500,"Low",J529&gt;=1500,"Mid",J529&lt;=1500,"High",TRUE,"no")</f>
        <v>High</v>
      </c>
      <c r="N529" s="6"/>
      <c r="O529" s="6" t="str">
        <f t="shared" si="16"/>
        <v>Charlie</v>
      </c>
    </row>
    <row r="530" spans="1:15" x14ac:dyDescent="0.3">
      <c r="A530" s="10">
        <v>529</v>
      </c>
      <c r="B530" s="18">
        <v>45455</v>
      </c>
      <c r="C530" s="6" t="s">
        <v>548</v>
      </c>
      <c r="D530" s="6" t="s">
        <v>2</v>
      </c>
      <c r="E530" s="6" t="s">
        <v>14</v>
      </c>
      <c r="F530" s="6">
        <v>22</v>
      </c>
      <c r="G530" s="6" t="s">
        <v>20</v>
      </c>
      <c r="H530" s="6">
        <v>3</v>
      </c>
      <c r="I530" s="6">
        <v>473</v>
      </c>
      <c r="J530" s="11">
        <v>1419</v>
      </c>
      <c r="M530" s="6" t="str" cm="1">
        <f t="array" ref="M530">_xlfn.IFS(J530&lt;=500,"Low",J530&gt;=1500,"Mid",J530&lt;=1500,"High",TRUE,"no")</f>
        <v>High</v>
      </c>
      <c r="N530" s="6"/>
      <c r="O530" s="6" t="str">
        <f t="shared" si="16"/>
        <v>Diana</v>
      </c>
    </row>
    <row r="531" spans="1:15" x14ac:dyDescent="0.3">
      <c r="A531" s="10">
        <v>530</v>
      </c>
      <c r="B531" s="18">
        <v>45456</v>
      </c>
      <c r="C531" s="6" t="s">
        <v>549</v>
      </c>
      <c r="D531" s="6" t="s">
        <v>2</v>
      </c>
      <c r="E531" s="6" t="s">
        <v>14</v>
      </c>
      <c r="F531" s="6">
        <v>56</v>
      </c>
      <c r="G531" s="6" t="s">
        <v>20</v>
      </c>
      <c r="H531" s="6">
        <v>3</v>
      </c>
      <c r="I531" s="6">
        <v>412</v>
      </c>
      <c r="J531" s="11">
        <v>1236</v>
      </c>
      <c r="M531" s="6" t="str" cm="1">
        <f t="array" ref="M531">_xlfn.IFS(J531&lt;=500,"Low",J531&gt;=1500,"Mid",J531&lt;=1500,"High",TRUE,"no")</f>
        <v>High</v>
      </c>
      <c r="N531" s="6"/>
      <c r="O531" s="6" t="str">
        <f t="shared" si="16"/>
        <v>Diana</v>
      </c>
    </row>
    <row r="532" spans="1:15" x14ac:dyDescent="0.3">
      <c r="A532" s="10">
        <v>531</v>
      </c>
      <c r="B532" s="18">
        <v>45457</v>
      </c>
      <c r="C532" s="6" t="s">
        <v>550</v>
      </c>
      <c r="D532" s="6" t="s">
        <v>4</v>
      </c>
      <c r="E532" s="6" t="s">
        <v>19</v>
      </c>
      <c r="F532" s="6">
        <v>20</v>
      </c>
      <c r="G532" s="6" t="s">
        <v>17</v>
      </c>
      <c r="H532" s="6">
        <v>5</v>
      </c>
      <c r="I532" s="6">
        <v>483</v>
      </c>
      <c r="J532" s="11">
        <v>2415</v>
      </c>
      <c r="M532" s="6" t="str" cm="1">
        <f t="array" ref="M532">_xlfn.IFS(J532&lt;=500,"Low",J532&gt;=1500,"Mid",J532&lt;=1500,"High",TRUE,"no")</f>
        <v>Mid</v>
      </c>
      <c r="N532" s="6"/>
      <c r="O532" s="6" t="str">
        <f t="shared" si="16"/>
        <v>Alice</v>
      </c>
    </row>
    <row r="533" spans="1:15" x14ac:dyDescent="0.3">
      <c r="A533" s="10">
        <v>532</v>
      </c>
      <c r="B533" s="18">
        <v>45458</v>
      </c>
      <c r="C533" s="6" t="s">
        <v>551</v>
      </c>
      <c r="D533" s="6" t="s">
        <v>4</v>
      </c>
      <c r="E533" s="6" t="s">
        <v>19</v>
      </c>
      <c r="F533" s="6">
        <v>29</v>
      </c>
      <c r="G533" s="6" t="s">
        <v>27</v>
      </c>
      <c r="H533" s="6">
        <v>4</v>
      </c>
      <c r="I533" s="6">
        <v>78</v>
      </c>
      <c r="J533" s="11">
        <v>312</v>
      </c>
      <c r="M533" s="6" t="str" cm="1">
        <f t="array" ref="M533">_xlfn.IFS(J533&lt;=500,"Low",J533&gt;=1500,"Mid",J533&lt;=1500,"High",TRUE,"no")</f>
        <v>Low</v>
      </c>
      <c r="N533" s="6"/>
      <c r="O533" s="6" t="str">
        <f t="shared" si="16"/>
        <v>Alice</v>
      </c>
    </row>
    <row r="534" spans="1:15" x14ac:dyDescent="0.3">
      <c r="A534" s="10">
        <v>533</v>
      </c>
      <c r="B534" s="18">
        <v>45459</v>
      </c>
      <c r="C534" s="6" t="s">
        <v>552</v>
      </c>
      <c r="D534" s="6" t="s">
        <v>1</v>
      </c>
      <c r="E534" s="6" t="s">
        <v>14</v>
      </c>
      <c r="F534" s="6">
        <v>25</v>
      </c>
      <c r="G534" s="6" t="s">
        <v>15</v>
      </c>
      <c r="H534" s="6">
        <v>5</v>
      </c>
      <c r="I534" s="6">
        <v>425</v>
      </c>
      <c r="J534" s="11">
        <v>2125</v>
      </c>
      <c r="M534" s="6" t="str" cm="1">
        <f t="array" ref="M534">_xlfn.IFS(J534&lt;=500,"Low",J534&gt;=1500,"Mid",J534&lt;=1500,"High",TRUE,"no")</f>
        <v>Mid</v>
      </c>
      <c r="N534" s="6"/>
      <c r="O534" s="6" t="str">
        <f t="shared" si="16"/>
        <v>Charlie</v>
      </c>
    </row>
    <row r="535" spans="1:15" x14ac:dyDescent="0.3">
      <c r="A535" s="10">
        <v>534</v>
      </c>
      <c r="B535" s="18">
        <v>45460</v>
      </c>
      <c r="C535" s="6" t="s">
        <v>553</v>
      </c>
      <c r="D535" s="6" t="s">
        <v>4</v>
      </c>
      <c r="E535" s="6" t="s">
        <v>19</v>
      </c>
      <c r="F535" s="6">
        <v>60</v>
      </c>
      <c r="G535" s="6" t="s">
        <v>20</v>
      </c>
      <c r="H535" s="6">
        <v>2</v>
      </c>
      <c r="I535" s="6">
        <v>127</v>
      </c>
      <c r="J535" s="11">
        <v>254</v>
      </c>
      <c r="M535" s="6" t="str" cm="1">
        <f t="array" ref="M535">_xlfn.IFS(J535&lt;=500,"Low",J535&gt;=1500,"Mid",J535&lt;=1500,"High",TRUE,"no")</f>
        <v>Low</v>
      </c>
      <c r="N535" s="6"/>
      <c r="O535" s="6" t="str">
        <f t="shared" si="16"/>
        <v>Alice</v>
      </c>
    </row>
    <row r="536" spans="1:15" x14ac:dyDescent="0.3">
      <c r="A536" s="10">
        <v>535</v>
      </c>
      <c r="B536" s="18">
        <v>45461</v>
      </c>
      <c r="C536" s="6" t="s">
        <v>554</v>
      </c>
      <c r="D536" s="6" t="s">
        <v>3</v>
      </c>
      <c r="E536" s="6" t="s">
        <v>19</v>
      </c>
      <c r="F536" s="6">
        <v>53</v>
      </c>
      <c r="G536" s="6" t="s">
        <v>15</v>
      </c>
      <c r="H536" s="6">
        <v>1</v>
      </c>
      <c r="I536" s="6">
        <v>279</v>
      </c>
      <c r="J536" s="11">
        <v>279</v>
      </c>
      <c r="M536" s="6" t="str" cm="1">
        <f t="array" ref="M536">_xlfn.IFS(J536&lt;=500,"Low",J536&gt;=1500,"Mid",J536&lt;=1500,"High",TRUE,"no")</f>
        <v>Low</v>
      </c>
      <c r="N536" s="6"/>
      <c r="O536" s="6" t="str">
        <f t="shared" si="16"/>
        <v>Bob</v>
      </c>
    </row>
    <row r="537" spans="1:15" x14ac:dyDescent="0.3">
      <c r="A537" s="10">
        <v>536</v>
      </c>
      <c r="B537" s="18">
        <v>45462</v>
      </c>
      <c r="C537" s="6" t="s">
        <v>555</v>
      </c>
      <c r="D537" s="6" t="s">
        <v>4</v>
      </c>
      <c r="E537" s="6" t="s">
        <v>14</v>
      </c>
      <c r="F537" s="6">
        <v>32</v>
      </c>
      <c r="G537" s="6" t="s">
        <v>15</v>
      </c>
      <c r="H537" s="6">
        <v>1</v>
      </c>
      <c r="I537" s="6">
        <v>201</v>
      </c>
      <c r="J537" s="11">
        <v>201</v>
      </c>
      <c r="M537" s="6" t="str" cm="1">
        <f t="array" ref="M537">_xlfn.IFS(J537&lt;=500,"Low",J537&gt;=1500,"Mid",J537&lt;=1500,"High",TRUE,"no")</f>
        <v>Low</v>
      </c>
      <c r="N537" s="6"/>
      <c r="O537" s="6" t="str">
        <f t="shared" si="16"/>
        <v>Alice</v>
      </c>
    </row>
    <row r="538" spans="1:15" x14ac:dyDescent="0.3">
      <c r="A538" s="10">
        <v>537</v>
      </c>
      <c r="B538" s="18">
        <v>45463</v>
      </c>
      <c r="C538" s="6" t="s">
        <v>556</v>
      </c>
      <c r="D538" s="6" t="s">
        <v>4</v>
      </c>
      <c r="E538" s="6" t="s">
        <v>14</v>
      </c>
      <c r="F538" s="6">
        <v>34</v>
      </c>
      <c r="G538" s="6" t="s">
        <v>27</v>
      </c>
      <c r="H538" s="6">
        <v>3</v>
      </c>
      <c r="I538" s="6">
        <v>114</v>
      </c>
      <c r="J538" s="11">
        <v>342</v>
      </c>
      <c r="M538" s="6" t="str" cm="1">
        <f t="array" ref="M538">_xlfn.IFS(J538&lt;=500,"Low",J538&gt;=1500,"Mid",J538&lt;=1500,"High",TRUE,"no")</f>
        <v>Low</v>
      </c>
      <c r="N538" s="6"/>
      <c r="O538" s="6" t="str">
        <f t="shared" si="16"/>
        <v>Alice</v>
      </c>
    </row>
    <row r="539" spans="1:15" x14ac:dyDescent="0.3">
      <c r="A539" s="10">
        <v>538</v>
      </c>
      <c r="B539" s="18">
        <v>45464</v>
      </c>
      <c r="C539" s="6" t="s">
        <v>557</v>
      </c>
      <c r="D539" s="6" t="s">
        <v>1</v>
      </c>
      <c r="E539" s="6" t="s">
        <v>14</v>
      </c>
      <c r="F539" s="6">
        <v>29</v>
      </c>
      <c r="G539" s="6" t="s">
        <v>17</v>
      </c>
      <c r="H539" s="6">
        <v>3</v>
      </c>
      <c r="I539" s="6">
        <v>176</v>
      </c>
      <c r="J539" s="11">
        <v>528</v>
      </c>
      <c r="M539" s="6" t="str" cm="1">
        <f t="array" ref="M539">_xlfn.IFS(J539&lt;=500,"Low",J539&gt;=1500,"Mid",J539&lt;=1500,"High",TRUE,"no")</f>
        <v>High</v>
      </c>
      <c r="N539" s="6"/>
      <c r="O539" s="6" t="str">
        <f t="shared" si="16"/>
        <v>Charlie</v>
      </c>
    </row>
    <row r="540" spans="1:15" x14ac:dyDescent="0.3">
      <c r="A540" s="10">
        <v>539</v>
      </c>
      <c r="B540" s="18">
        <v>45465</v>
      </c>
      <c r="C540" s="6" t="s">
        <v>558</v>
      </c>
      <c r="D540" s="6" t="s">
        <v>3</v>
      </c>
      <c r="E540" s="6" t="s">
        <v>19</v>
      </c>
      <c r="F540" s="6">
        <v>39</v>
      </c>
      <c r="G540" s="6" t="s">
        <v>17</v>
      </c>
      <c r="H540" s="6">
        <v>4</v>
      </c>
      <c r="I540" s="6">
        <v>464</v>
      </c>
      <c r="J540" s="11">
        <v>1856</v>
      </c>
      <c r="M540" s="6" t="str" cm="1">
        <f t="array" ref="M540">_xlfn.IFS(J540&lt;=500,"Low",J540&gt;=1500,"Mid",J540&lt;=1500,"High",TRUE,"no")</f>
        <v>Mid</v>
      </c>
      <c r="N540" s="6"/>
      <c r="O540" s="6" t="str">
        <f t="shared" si="16"/>
        <v>Bob</v>
      </c>
    </row>
    <row r="541" spans="1:15" x14ac:dyDescent="0.3">
      <c r="A541" s="10">
        <v>540</v>
      </c>
      <c r="B541" s="18">
        <v>45466</v>
      </c>
      <c r="C541" s="6" t="s">
        <v>559</v>
      </c>
      <c r="D541" s="6" t="s">
        <v>4</v>
      </c>
      <c r="E541" s="6" t="s">
        <v>14</v>
      </c>
      <c r="F541" s="6">
        <v>25</v>
      </c>
      <c r="G541" s="6" t="s">
        <v>27</v>
      </c>
      <c r="H541" s="6">
        <v>3</v>
      </c>
      <c r="I541" s="6">
        <v>101</v>
      </c>
      <c r="J541" s="11">
        <v>303</v>
      </c>
      <c r="M541" s="6" t="str" cm="1">
        <f t="array" ref="M541">_xlfn.IFS(J541&lt;=500,"Low",J541&gt;=1500,"Mid",J541&lt;=1500,"High",TRUE,"no")</f>
        <v>Low</v>
      </c>
      <c r="N541" s="6"/>
      <c r="O541" s="6" t="str">
        <f t="shared" si="16"/>
        <v>Alice</v>
      </c>
    </row>
    <row r="542" spans="1:15" x14ac:dyDescent="0.3">
      <c r="A542" s="10">
        <v>541</v>
      </c>
      <c r="B542" s="18">
        <v>45467</v>
      </c>
      <c r="C542" s="6" t="s">
        <v>560</v>
      </c>
      <c r="D542" s="6" t="s">
        <v>3</v>
      </c>
      <c r="E542" s="6" t="s">
        <v>14</v>
      </c>
      <c r="F542" s="6">
        <v>51</v>
      </c>
      <c r="G542" s="6" t="s">
        <v>15</v>
      </c>
      <c r="H542" s="6">
        <v>5</v>
      </c>
      <c r="I542" s="6">
        <v>87</v>
      </c>
      <c r="J542" s="11">
        <v>435</v>
      </c>
      <c r="M542" s="6" t="str" cm="1">
        <f t="array" ref="M542">_xlfn.IFS(J542&lt;=500,"Low",J542&gt;=1500,"Mid",J542&lt;=1500,"High",TRUE,"no")</f>
        <v>Low</v>
      </c>
      <c r="N542" s="6"/>
      <c r="O542" s="6" t="str">
        <f t="shared" si="16"/>
        <v>Bob</v>
      </c>
    </row>
    <row r="543" spans="1:15" x14ac:dyDescent="0.3">
      <c r="A543" s="10">
        <v>542</v>
      </c>
      <c r="B543" s="18">
        <v>45468</v>
      </c>
      <c r="C543" s="6" t="s">
        <v>561</v>
      </c>
      <c r="D543" s="6" t="s">
        <v>3</v>
      </c>
      <c r="E543" s="6" t="s">
        <v>19</v>
      </c>
      <c r="F543" s="6">
        <v>50</v>
      </c>
      <c r="G543" s="6" t="s">
        <v>23</v>
      </c>
      <c r="H543" s="6">
        <v>3</v>
      </c>
      <c r="I543" s="6">
        <v>260</v>
      </c>
      <c r="J543" s="11">
        <v>780</v>
      </c>
      <c r="M543" s="6" t="str" cm="1">
        <f t="array" ref="M543">_xlfn.IFS(J543&lt;=500,"Low",J543&gt;=1500,"Mid",J543&lt;=1500,"High",TRUE,"no")</f>
        <v>High</v>
      </c>
      <c r="N543" s="6"/>
      <c r="O543" s="6" t="str">
        <f t="shared" si="16"/>
        <v>Bob</v>
      </c>
    </row>
    <row r="544" spans="1:15" x14ac:dyDescent="0.3">
      <c r="A544" s="10">
        <v>543</v>
      </c>
      <c r="B544" s="18">
        <v>45469</v>
      </c>
      <c r="C544" s="6" t="s">
        <v>562</v>
      </c>
      <c r="D544" s="6" t="s">
        <v>3</v>
      </c>
      <c r="E544" s="6" t="s">
        <v>19</v>
      </c>
      <c r="F544" s="6">
        <v>28</v>
      </c>
      <c r="G544" s="6" t="s">
        <v>15</v>
      </c>
      <c r="H544" s="6">
        <v>1</v>
      </c>
      <c r="I544" s="6">
        <v>202</v>
      </c>
      <c r="J544" s="11">
        <v>202</v>
      </c>
      <c r="M544" s="6" t="str" cm="1">
        <f t="array" ref="M544">_xlfn.IFS(J544&lt;=500,"Low",J544&gt;=1500,"Mid",J544&lt;=1500,"High",TRUE,"no")</f>
        <v>Low</v>
      </c>
      <c r="N544" s="6"/>
      <c r="O544" s="6" t="str">
        <f t="shared" si="16"/>
        <v>Bob</v>
      </c>
    </row>
    <row r="545" spans="1:15" x14ac:dyDescent="0.3">
      <c r="A545" s="10">
        <v>544</v>
      </c>
      <c r="B545" s="18">
        <v>45470</v>
      </c>
      <c r="C545" s="6" t="s">
        <v>563</v>
      </c>
      <c r="D545" s="6" t="s">
        <v>2</v>
      </c>
      <c r="E545" s="6" t="s">
        <v>19</v>
      </c>
      <c r="F545" s="6">
        <v>20</v>
      </c>
      <c r="G545" s="6" t="s">
        <v>23</v>
      </c>
      <c r="H545" s="6">
        <v>2</v>
      </c>
      <c r="I545" s="6">
        <v>149</v>
      </c>
      <c r="J545" s="11">
        <v>298</v>
      </c>
      <c r="M545" s="6" t="str" cm="1">
        <f t="array" ref="M545">_xlfn.IFS(J545&lt;=500,"Low",J545&gt;=1500,"Mid",J545&lt;=1500,"High",TRUE,"no")</f>
        <v>Low</v>
      </c>
      <c r="N545" s="6"/>
      <c r="O545" s="6" t="str">
        <f t="shared" si="16"/>
        <v>Diana</v>
      </c>
    </row>
    <row r="546" spans="1:15" x14ac:dyDescent="0.3">
      <c r="A546" s="10">
        <v>545</v>
      </c>
      <c r="B546" s="18">
        <v>45471</v>
      </c>
      <c r="C546" s="6" t="s">
        <v>564</v>
      </c>
      <c r="D546" s="6" t="s">
        <v>2</v>
      </c>
      <c r="E546" s="6" t="s">
        <v>14</v>
      </c>
      <c r="F546" s="6">
        <v>48</v>
      </c>
      <c r="G546" s="6" t="s">
        <v>15</v>
      </c>
      <c r="H546" s="6">
        <v>2</v>
      </c>
      <c r="I546" s="6">
        <v>126</v>
      </c>
      <c r="J546" s="11">
        <v>252</v>
      </c>
      <c r="M546" s="6" t="str" cm="1">
        <f t="array" ref="M546">_xlfn.IFS(J546&lt;=500,"Low",J546&gt;=1500,"Mid",J546&lt;=1500,"High",TRUE,"no")</f>
        <v>Low</v>
      </c>
      <c r="N546" s="6"/>
      <c r="O546" s="6" t="str">
        <f t="shared" si="16"/>
        <v>Diana</v>
      </c>
    </row>
    <row r="547" spans="1:15" x14ac:dyDescent="0.3">
      <c r="A547" s="10">
        <v>546</v>
      </c>
      <c r="B547" s="18">
        <v>45472</v>
      </c>
      <c r="C547" s="6" t="s">
        <v>565</v>
      </c>
      <c r="D547" s="6" t="s">
        <v>2</v>
      </c>
      <c r="E547" s="6" t="s">
        <v>19</v>
      </c>
      <c r="F547" s="6">
        <v>28</v>
      </c>
      <c r="G547" s="6" t="s">
        <v>23</v>
      </c>
      <c r="H547" s="6">
        <v>4</v>
      </c>
      <c r="I547" s="6">
        <v>458</v>
      </c>
      <c r="J547" s="11">
        <v>1832</v>
      </c>
      <c r="M547" s="6" t="str" cm="1">
        <f t="array" ref="M547">_xlfn.IFS(J547&lt;=500,"Low",J547&gt;=1500,"Mid",J547&lt;=1500,"High",TRUE,"no")</f>
        <v>Mid</v>
      </c>
      <c r="N547" s="6"/>
      <c r="O547" s="6" t="str">
        <f t="shared" si="16"/>
        <v>Diana</v>
      </c>
    </row>
    <row r="548" spans="1:15" x14ac:dyDescent="0.3">
      <c r="A548" s="10">
        <v>547</v>
      </c>
      <c r="B548" s="18">
        <v>45473</v>
      </c>
      <c r="C548" s="6" t="s">
        <v>566</v>
      </c>
      <c r="D548" s="6" t="s">
        <v>2</v>
      </c>
      <c r="E548" s="6" t="s">
        <v>19</v>
      </c>
      <c r="F548" s="6">
        <v>41</v>
      </c>
      <c r="G548" s="6" t="s">
        <v>20</v>
      </c>
      <c r="H548" s="6">
        <v>1</v>
      </c>
      <c r="I548" s="6">
        <v>492</v>
      </c>
      <c r="J548" s="11">
        <v>492</v>
      </c>
      <c r="M548" s="6" t="str" cm="1">
        <f t="array" ref="M548">_xlfn.IFS(J548&lt;=500,"Low",J548&gt;=1500,"Mid",J548&lt;=1500,"High",TRUE,"no")</f>
        <v>Low</v>
      </c>
      <c r="N548" s="6"/>
      <c r="O548" s="6" t="str">
        <f t="shared" si="16"/>
        <v>Diana</v>
      </c>
    </row>
    <row r="549" spans="1:15" x14ac:dyDescent="0.3">
      <c r="A549" s="10">
        <v>548</v>
      </c>
      <c r="B549" s="18">
        <v>45474</v>
      </c>
      <c r="C549" s="6" t="s">
        <v>567</v>
      </c>
      <c r="D549" s="6" t="s">
        <v>1</v>
      </c>
      <c r="E549" s="6" t="s">
        <v>19</v>
      </c>
      <c r="F549" s="6">
        <v>28</v>
      </c>
      <c r="G549" s="6" t="s">
        <v>20</v>
      </c>
      <c r="H549" s="6">
        <v>3</v>
      </c>
      <c r="I549" s="6">
        <v>408</v>
      </c>
      <c r="J549" s="11">
        <v>1224</v>
      </c>
      <c r="M549" s="6" t="str" cm="1">
        <f t="array" ref="M549">_xlfn.IFS(J549&lt;=500,"Low",J549&gt;=1500,"Mid",J549&lt;=1500,"High",TRUE,"no")</f>
        <v>High</v>
      </c>
      <c r="N549" s="6"/>
      <c r="O549" s="6" t="str">
        <f t="shared" si="16"/>
        <v>Charlie</v>
      </c>
    </row>
    <row r="550" spans="1:15" x14ac:dyDescent="0.3">
      <c r="A550" s="10">
        <v>549</v>
      </c>
      <c r="B550" s="18">
        <v>45475</v>
      </c>
      <c r="C550" s="6" t="s">
        <v>568</v>
      </c>
      <c r="D550" s="6" t="s">
        <v>4</v>
      </c>
      <c r="E550" s="6" t="s">
        <v>19</v>
      </c>
      <c r="F550" s="6">
        <v>59</v>
      </c>
      <c r="G550" s="6" t="s">
        <v>20</v>
      </c>
      <c r="H550" s="6">
        <v>3</v>
      </c>
      <c r="I550" s="6">
        <v>66</v>
      </c>
      <c r="J550" s="11">
        <v>198</v>
      </c>
      <c r="M550" s="6" t="str" cm="1">
        <f t="array" ref="M550">_xlfn.IFS(J550&lt;=500,"Low",J550&gt;=1500,"Mid",J550&lt;=1500,"High",TRUE,"no")</f>
        <v>Low</v>
      </c>
      <c r="N550" s="6"/>
      <c r="O550" s="6" t="str">
        <f t="shared" si="16"/>
        <v>Alice</v>
      </c>
    </row>
    <row r="551" spans="1:15" x14ac:dyDescent="0.3">
      <c r="A551" s="10">
        <v>550</v>
      </c>
      <c r="B551" s="18">
        <v>45476</v>
      </c>
      <c r="C551" s="6" t="s">
        <v>569</v>
      </c>
      <c r="D551" s="6" t="s">
        <v>2</v>
      </c>
      <c r="E551" s="6" t="s">
        <v>19</v>
      </c>
      <c r="F551" s="6">
        <v>50</v>
      </c>
      <c r="G551" s="6" t="s">
        <v>27</v>
      </c>
      <c r="H551" s="6">
        <v>1</v>
      </c>
      <c r="I551" s="6">
        <v>156</v>
      </c>
      <c r="J551" s="11">
        <v>156</v>
      </c>
      <c r="M551" s="6" t="str" cm="1">
        <f t="array" ref="M551">_xlfn.IFS(J551&lt;=500,"Low",J551&gt;=1500,"Mid",J551&lt;=1500,"High",TRUE,"no")</f>
        <v>Low</v>
      </c>
      <c r="N551" s="6"/>
      <c r="O551" s="6" t="str">
        <f t="shared" si="16"/>
        <v>Diana</v>
      </c>
    </row>
    <row r="552" spans="1:15" x14ac:dyDescent="0.3">
      <c r="A552" s="10">
        <v>551</v>
      </c>
      <c r="B552" s="18">
        <v>45477</v>
      </c>
      <c r="C552" s="6" t="s">
        <v>570</v>
      </c>
      <c r="D552" s="6" t="s">
        <v>1</v>
      </c>
      <c r="E552" s="6" t="s">
        <v>19</v>
      </c>
      <c r="F552" s="6">
        <v>59</v>
      </c>
      <c r="G552" s="6" t="s">
        <v>17</v>
      </c>
      <c r="H552" s="6">
        <v>4</v>
      </c>
      <c r="I552" s="6">
        <v>253</v>
      </c>
      <c r="J552" s="11">
        <v>1012</v>
      </c>
      <c r="M552" s="6" t="str" cm="1">
        <f t="array" ref="M552">_xlfn.IFS(J552&lt;=500,"Low",J552&gt;=1500,"Mid",J552&lt;=1500,"High",TRUE,"no")</f>
        <v>High</v>
      </c>
      <c r="N552" s="6"/>
      <c r="O552" s="6" t="str">
        <f t="shared" si="16"/>
        <v>Charlie</v>
      </c>
    </row>
    <row r="553" spans="1:15" x14ac:dyDescent="0.3">
      <c r="A553" s="10">
        <v>552</v>
      </c>
      <c r="B553" s="18">
        <v>45478</v>
      </c>
      <c r="C553" s="6" t="s">
        <v>571</v>
      </c>
      <c r="D553" s="6" t="s">
        <v>4</v>
      </c>
      <c r="E553" s="6" t="s">
        <v>14</v>
      </c>
      <c r="F553" s="6">
        <v>57</v>
      </c>
      <c r="G553" s="6" t="s">
        <v>17</v>
      </c>
      <c r="H553" s="6">
        <v>4</v>
      </c>
      <c r="I553" s="6">
        <v>186</v>
      </c>
      <c r="J553" s="11">
        <v>744</v>
      </c>
      <c r="M553" s="6" t="str" cm="1">
        <f t="array" ref="M553">_xlfn.IFS(J553&lt;=500,"Low",J553&gt;=1500,"Mid",J553&lt;=1500,"High",TRUE,"no")</f>
        <v>High</v>
      </c>
      <c r="N553" s="6"/>
      <c r="O553" s="6" t="str">
        <f t="shared" si="16"/>
        <v>Alice</v>
      </c>
    </row>
    <row r="554" spans="1:15" x14ac:dyDescent="0.3">
      <c r="A554" s="10">
        <v>553</v>
      </c>
      <c r="B554" s="18">
        <v>45479</v>
      </c>
      <c r="C554" s="6" t="s">
        <v>572</v>
      </c>
      <c r="D554" s="6" t="s">
        <v>2</v>
      </c>
      <c r="E554" s="6" t="s">
        <v>19</v>
      </c>
      <c r="F554" s="6">
        <v>41</v>
      </c>
      <c r="G554" s="6" t="s">
        <v>17</v>
      </c>
      <c r="H554" s="6">
        <v>2</v>
      </c>
      <c r="I554" s="6">
        <v>186</v>
      </c>
      <c r="J554" s="11">
        <v>372</v>
      </c>
      <c r="M554" s="6" t="str" cm="1">
        <f t="array" ref="M554">_xlfn.IFS(J554&lt;=500,"Low",J554&gt;=1500,"Mid",J554&lt;=1500,"High",TRUE,"no")</f>
        <v>Low</v>
      </c>
      <c r="N554" s="6"/>
      <c r="O554" s="6" t="str">
        <f t="shared" si="16"/>
        <v>Diana</v>
      </c>
    </row>
    <row r="555" spans="1:15" x14ac:dyDescent="0.3">
      <c r="A555" s="10">
        <v>554</v>
      </c>
      <c r="B555" s="18">
        <v>45480</v>
      </c>
      <c r="C555" s="6" t="s">
        <v>573</v>
      </c>
      <c r="D555" s="6" t="s">
        <v>4</v>
      </c>
      <c r="E555" s="6" t="s">
        <v>14</v>
      </c>
      <c r="F555" s="6">
        <v>50</v>
      </c>
      <c r="G555" s="6" t="s">
        <v>15</v>
      </c>
      <c r="H555" s="6">
        <v>1</v>
      </c>
      <c r="I555" s="6">
        <v>456</v>
      </c>
      <c r="J555" s="11">
        <v>456</v>
      </c>
      <c r="M555" s="6" t="str" cm="1">
        <f t="array" ref="M555">_xlfn.IFS(J555&lt;=500,"Low",J555&gt;=1500,"Mid",J555&lt;=1500,"High",TRUE,"no")</f>
        <v>Low</v>
      </c>
      <c r="N555" s="6"/>
      <c r="O555" s="6" t="str">
        <f t="shared" si="16"/>
        <v>Alice</v>
      </c>
    </row>
    <row r="556" spans="1:15" x14ac:dyDescent="0.3">
      <c r="A556" s="10">
        <v>555</v>
      </c>
      <c r="B556" s="18">
        <v>45481</v>
      </c>
      <c r="C556" s="6" t="s">
        <v>574</v>
      </c>
      <c r="D556" s="6" t="s">
        <v>2</v>
      </c>
      <c r="E556" s="6" t="s">
        <v>19</v>
      </c>
      <c r="F556" s="6">
        <v>35</v>
      </c>
      <c r="G556" s="6" t="s">
        <v>23</v>
      </c>
      <c r="H556" s="6">
        <v>4</v>
      </c>
      <c r="I556" s="6">
        <v>439</v>
      </c>
      <c r="J556" s="11">
        <v>1756</v>
      </c>
      <c r="M556" s="6" t="str" cm="1">
        <f t="array" ref="M556">_xlfn.IFS(J556&lt;=500,"Low",J556&gt;=1500,"Mid",J556&lt;=1500,"High",TRUE,"no")</f>
        <v>Mid</v>
      </c>
      <c r="N556" s="6"/>
      <c r="O556" s="6" t="str">
        <f t="shared" si="16"/>
        <v>Diana</v>
      </c>
    </row>
    <row r="557" spans="1:15" x14ac:dyDescent="0.3">
      <c r="A557" s="10">
        <v>556</v>
      </c>
      <c r="B557" s="18">
        <v>45482</v>
      </c>
      <c r="C557" s="6" t="s">
        <v>575</v>
      </c>
      <c r="D557" s="6" t="s">
        <v>1</v>
      </c>
      <c r="E557" s="6" t="s">
        <v>14</v>
      </c>
      <c r="F557" s="6">
        <v>57</v>
      </c>
      <c r="G557" s="6" t="s">
        <v>23</v>
      </c>
      <c r="H557" s="6">
        <v>4</v>
      </c>
      <c r="I557" s="6">
        <v>203</v>
      </c>
      <c r="J557" s="11">
        <v>812</v>
      </c>
      <c r="M557" s="6" t="str" cm="1">
        <f t="array" ref="M557">_xlfn.IFS(J557&lt;=500,"Low",J557&gt;=1500,"Mid",J557&lt;=1500,"High",TRUE,"no")</f>
        <v>High</v>
      </c>
      <c r="N557" s="6"/>
      <c r="O557" s="6" t="str">
        <f t="shared" si="16"/>
        <v>Charlie</v>
      </c>
    </row>
    <row r="558" spans="1:15" x14ac:dyDescent="0.3">
      <c r="A558" s="10">
        <v>557</v>
      </c>
      <c r="B558" s="18">
        <v>45483</v>
      </c>
      <c r="C558" s="6" t="s">
        <v>576</v>
      </c>
      <c r="D558" s="6" t="s">
        <v>3</v>
      </c>
      <c r="E558" s="6" t="s">
        <v>19</v>
      </c>
      <c r="F558" s="6">
        <v>24</v>
      </c>
      <c r="G558" s="6" t="s">
        <v>27</v>
      </c>
      <c r="H558" s="6">
        <v>4</v>
      </c>
      <c r="I558" s="6">
        <v>77</v>
      </c>
      <c r="J558" s="11">
        <v>308</v>
      </c>
      <c r="M558" s="6" t="str" cm="1">
        <f t="array" ref="M558">_xlfn.IFS(J558&lt;=500,"Low",J558&gt;=1500,"Mid",J558&lt;=1500,"High",TRUE,"no")</f>
        <v>Low</v>
      </c>
      <c r="N558" s="6"/>
      <c r="O558" s="6" t="str">
        <f t="shared" si="16"/>
        <v>Bob</v>
      </c>
    </row>
    <row r="559" spans="1:15" x14ac:dyDescent="0.3">
      <c r="A559" s="10">
        <v>558</v>
      </c>
      <c r="B559" s="18">
        <v>45484</v>
      </c>
      <c r="C559" s="6" t="s">
        <v>577</v>
      </c>
      <c r="D559" s="6" t="s">
        <v>3</v>
      </c>
      <c r="E559" s="6" t="s">
        <v>19</v>
      </c>
      <c r="F559" s="6">
        <v>56</v>
      </c>
      <c r="G559" s="6" t="s">
        <v>17</v>
      </c>
      <c r="H559" s="6">
        <v>4</v>
      </c>
      <c r="I559" s="6">
        <v>273</v>
      </c>
      <c r="J559" s="11">
        <v>1092</v>
      </c>
      <c r="M559" s="6" t="str" cm="1">
        <f t="array" ref="M559">_xlfn.IFS(J559&lt;=500,"Low",J559&gt;=1500,"Mid",J559&lt;=1500,"High",TRUE,"no")</f>
        <v>High</v>
      </c>
      <c r="N559" s="6"/>
      <c r="O559" s="6" t="str">
        <f t="shared" si="16"/>
        <v>Bob</v>
      </c>
    </row>
    <row r="560" spans="1:15" x14ac:dyDescent="0.3">
      <c r="A560" s="10">
        <v>559</v>
      </c>
      <c r="B560" s="18">
        <v>45485</v>
      </c>
      <c r="C560" s="6" t="s">
        <v>578</v>
      </c>
      <c r="D560" s="6" t="s">
        <v>4</v>
      </c>
      <c r="E560" s="6" t="s">
        <v>14</v>
      </c>
      <c r="F560" s="6">
        <v>60</v>
      </c>
      <c r="G560" s="6" t="s">
        <v>23</v>
      </c>
      <c r="H560" s="6">
        <v>2</v>
      </c>
      <c r="I560" s="6">
        <v>35</v>
      </c>
      <c r="J560" s="11">
        <v>70</v>
      </c>
      <c r="M560" s="6" t="str" cm="1">
        <f t="array" ref="M560">_xlfn.IFS(J560&lt;=500,"Low",J560&gt;=1500,"Mid",J560&lt;=1500,"High",TRUE,"no")</f>
        <v>Low</v>
      </c>
      <c r="N560" s="6"/>
      <c r="O560" s="6" t="str">
        <f t="shared" si="16"/>
        <v>Alice</v>
      </c>
    </row>
    <row r="561" spans="1:15" x14ac:dyDescent="0.3">
      <c r="A561" s="10">
        <v>560</v>
      </c>
      <c r="B561" s="18">
        <v>45486</v>
      </c>
      <c r="C561" s="6" t="s">
        <v>579</v>
      </c>
      <c r="D561" s="6" t="s">
        <v>1</v>
      </c>
      <c r="E561" s="6" t="s">
        <v>19</v>
      </c>
      <c r="F561" s="6">
        <v>48</v>
      </c>
      <c r="G561" s="6" t="s">
        <v>23</v>
      </c>
      <c r="H561" s="6">
        <v>2</v>
      </c>
      <c r="I561" s="6">
        <v>156</v>
      </c>
      <c r="J561" s="11">
        <v>312</v>
      </c>
      <c r="M561" s="6" t="str" cm="1">
        <f t="array" ref="M561">_xlfn.IFS(J561&lt;=500,"Low",J561&gt;=1500,"Mid",J561&lt;=1500,"High",TRUE,"no")</f>
        <v>Low</v>
      </c>
      <c r="N561" s="6"/>
      <c r="O561" s="6" t="str">
        <f t="shared" si="16"/>
        <v>Charlie</v>
      </c>
    </row>
    <row r="562" spans="1:15" x14ac:dyDescent="0.3">
      <c r="A562" s="10">
        <v>561</v>
      </c>
      <c r="B562" s="18">
        <v>45487</v>
      </c>
      <c r="C562" s="6" t="s">
        <v>580</v>
      </c>
      <c r="D562" s="6" t="s">
        <v>3</v>
      </c>
      <c r="E562" s="6" t="s">
        <v>14</v>
      </c>
      <c r="F562" s="6">
        <v>59</v>
      </c>
      <c r="G562" s="6" t="s">
        <v>17</v>
      </c>
      <c r="H562" s="6">
        <v>1</v>
      </c>
      <c r="I562" s="6">
        <v>374</v>
      </c>
      <c r="J562" s="11">
        <v>374</v>
      </c>
      <c r="M562" s="6" t="str" cm="1">
        <f t="array" ref="M562">_xlfn.IFS(J562&lt;=500,"Low",J562&gt;=1500,"Mid",J562&lt;=1500,"High",TRUE,"no")</f>
        <v>Low</v>
      </c>
      <c r="N562" s="6"/>
      <c r="O562" s="6" t="str">
        <f t="shared" si="16"/>
        <v>Bob</v>
      </c>
    </row>
    <row r="563" spans="1:15" x14ac:dyDescent="0.3">
      <c r="A563" s="10">
        <v>562</v>
      </c>
      <c r="B563" s="18">
        <v>45488</v>
      </c>
      <c r="C563" s="6" t="s">
        <v>581</v>
      </c>
      <c r="D563" s="6" t="s">
        <v>2</v>
      </c>
      <c r="E563" s="6" t="s">
        <v>14</v>
      </c>
      <c r="F563" s="6">
        <v>22</v>
      </c>
      <c r="G563" s="6" t="s">
        <v>15</v>
      </c>
      <c r="H563" s="6">
        <v>4</v>
      </c>
      <c r="I563" s="6">
        <v>154</v>
      </c>
      <c r="J563" s="11">
        <v>616</v>
      </c>
      <c r="M563" s="6" t="str" cm="1">
        <f t="array" ref="M563">_xlfn.IFS(J563&lt;=500,"Low",J563&gt;=1500,"Mid",J563&lt;=1500,"High",TRUE,"no")</f>
        <v>High</v>
      </c>
      <c r="N563" s="6"/>
      <c r="O563" s="6" t="str">
        <f t="shared" si="16"/>
        <v>Diana</v>
      </c>
    </row>
    <row r="564" spans="1:15" x14ac:dyDescent="0.3">
      <c r="A564" s="10">
        <v>563</v>
      </c>
      <c r="B564" s="18">
        <v>45489</v>
      </c>
      <c r="C564" s="6" t="s">
        <v>582</v>
      </c>
      <c r="D564" s="6" t="s">
        <v>3</v>
      </c>
      <c r="E564" s="6" t="s">
        <v>14</v>
      </c>
      <c r="F564" s="6">
        <v>39</v>
      </c>
      <c r="G564" s="6" t="s">
        <v>17</v>
      </c>
      <c r="H564" s="6">
        <v>1</v>
      </c>
      <c r="I564" s="6">
        <v>284</v>
      </c>
      <c r="J564" s="11">
        <v>284</v>
      </c>
      <c r="M564" s="6" t="str" cm="1">
        <f t="array" ref="M564">_xlfn.IFS(J564&lt;=500,"Low",J564&gt;=1500,"Mid",J564&lt;=1500,"High",TRUE,"no")</f>
        <v>Low</v>
      </c>
      <c r="N564" s="6"/>
      <c r="O564" s="6" t="str">
        <f t="shared" si="16"/>
        <v>Bob</v>
      </c>
    </row>
    <row r="565" spans="1:15" x14ac:dyDescent="0.3">
      <c r="A565" s="10">
        <v>564</v>
      </c>
      <c r="B565" s="18">
        <v>45490</v>
      </c>
      <c r="C565" s="6" t="s">
        <v>583</v>
      </c>
      <c r="D565" s="6" t="s">
        <v>4</v>
      </c>
      <c r="E565" s="6" t="s">
        <v>14</v>
      </c>
      <c r="F565" s="6">
        <v>22</v>
      </c>
      <c r="G565" s="6" t="s">
        <v>27</v>
      </c>
      <c r="H565" s="6">
        <v>5</v>
      </c>
      <c r="I565" s="6">
        <v>276</v>
      </c>
      <c r="J565" s="11">
        <v>1380</v>
      </c>
      <c r="M565" s="6" t="str" cm="1">
        <f t="array" ref="M565">_xlfn.IFS(J565&lt;=500,"Low",J565&gt;=1500,"Mid",J565&lt;=1500,"High",TRUE,"no")</f>
        <v>High</v>
      </c>
      <c r="N565" s="6"/>
      <c r="O565" s="6" t="str">
        <f t="shared" si="16"/>
        <v>Alice</v>
      </c>
    </row>
    <row r="566" spans="1:15" x14ac:dyDescent="0.3">
      <c r="A566" s="10">
        <v>565</v>
      </c>
      <c r="B566" s="18">
        <v>45491</v>
      </c>
      <c r="C566" s="6" t="s">
        <v>584</v>
      </c>
      <c r="D566" s="6" t="s">
        <v>4</v>
      </c>
      <c r="E566" s="6" t="s">
        <v>14</v>
      </c>
      <c r="F566" s="6">
        <v>59</v>
      </c>
      <c r="G566" s="6" t="s">
        <v>17</v>
      </c>
      <c r="H566" s="6">
        <v>3</v>
      </c>
      <c r="I566" s="6">
        <v>180</v>
      </c>
      <c r="J566" s="11">
        <v>540</v>
      </c>
      <c r="M566" s="6" t="str" cm="1">
        <f t="array" ref="M566">_xlfn.IFS(J566&lt;=500,"Low",J566&gt;=1500,"Mid",J566&lt;=1500,"High",TRUE,"no")</f>
        <v>High</v>
      </c>
      <c r="N566" s="6"/>
      <c r="O566" s="6" t="str">
        <f t="shared" si="16"/>
        <v>Alice</v>
      </c>
    </row>
    <row r="567" spans="1:15" x14ac:dyDescent="0.3">
      <c r="A567" s="10">
        <v>566</v>
      </c>
      <c r="B567" s="18">
        <v>45492</v>
      </c>
      <c r="C567" s="6" t="s">
        <v>585</v>
      </c>
      <c r="D567" s="6" t="s">
        <v>1</v>
      </c>
      <c r="E567" s="6" t="s">
        <v>19</v>
      </c>
      <c r="F567" s="6">
        <v>21</v>
      </c>
      <c r="G567" s="6" t="s">
        <v>27</v>
      </c>
      <c r="H567" s="6">
        <v>4</v>
      </c>
      <c r="I567" s="6">
        <v>142</v>
      </c>
      <c r="J567" s="11">
        <v>568</v>
      </c>
      <c r="M567" s="6" t="str" cm="1">
        <f t="array" ref="M567">_xlfn.IFS(J567&lt;=500,"Low",J567&gt;=1500,"Mid",J567&lt;=1500,"High",TRUE,"no")</f>
        <v>High</v>
      </c>
      <c r="N567" s="6"/>
      <c r="O567" s="6" t="str">
        <f t="shared" si="16"/>
        <v>Charlie</v>
      </c>
    </row>
    <row r="568" spans="1:15" x14ac:dyDescent="0.3">
      <c r="A568" s="10">
        <v>567</v>
      </c>
      <c r="B568" s="18">
        <v>45493</v>
      </c>
      <c r="C568" s="6" t="s">
        <v>586</v>
      </c>
      <c r="D568" s="6" t="s">
        <v>4</v>
      </c>
      <c r="E568" s="6" t="s">
        <v>19</v>
      </c>
      <c r="F568" s="6">
        <v>42</v>
      </c>
      <c r="G568" s="6" t="s">
        <v>15</v>
      </c>
      <c r="H568" s="6">
        <v>3</v>
      </c>
      <c r="I568" s="6">
        <v>220</v>
      </c>
      <c r="J568" s="11">
        <v>660</v>
      </c>
      <c r="M568" s="6" t="str" cm="1">
        <f t="array" ref="M568">_xlfn.IFS(J568&lt;=500,"Low",J568&gt;=1500,"Mid",J568&lt;=1500,"High",TRUE,"no")</f>
        <v>High</v>
      </c>
      <c r="N568" s="6"/>
      <c r="O568" s="6" t="str">
        <f t="shared" si="16"/>
        <v>Alice</v>
      </c>
    </row>
    <row r="569" spans="1:15" x14ac:dyDescent="0.3">
      <c r="A569" s="10">
        <v>568</v>
      </c>
      <c r="B569" s="18">
        <v>45494</v>
      </c>
      <c r="C569" s="6" t="s">
        <v>587</v>
      </c>
      <c r="D569" s="6" t="s">
        <v>3</v>
      </c>
      <c r="E569" s="6" t="s">
        <v>14</v>
      </c>
      <c r="F569" s="6">
        <v>29</v>
      </c>
      <c r="G569" s="6" t="s">
        <v>27</v>
      </c>
      <c r="H569" s="6">
        <v>3</v>
      </c>
      <c r="I569" s="6">
        <v>78</v>
      </c>
      <c r="J569" s="11">
        <v>234</v>
      </c>
      <c r="M569" s="6" t="str" cm="1">
        <f t="array" ref="M569">_xlfn.IFS(J569&lt;=500,"Low",J569&gt;=1500,"Mid",J569&lt;=1500,"High",TRUE,"no")</f>
        <v>Low</v>
      </c>
      <c r="N569" s="6"/>
      <c r="O569" s="6" t="str">
        <f t="shared" si="16"/>
        <v>Bob</v>
      </c>
    </row>
    <row r="570" spans="1:15" x14ac:dyDescent="0.3">
      <c r="A570" s="10">
        <v>569</v>
      </c>
      <c r="B570" s="18">
        <v>45495</v>
      </c>
      <c r="C570" s="6" t="s">
        <v>588</v>
      </c>
      <c r="D570" s="6" t="s">
        <v>3</v>
      </c>
      <c r="E570" s="6" t="s">
        <v>19</v>
      </c>
      <c r="F570" s="6">
        <v>54</v>
      </c>
      <c r="G570" s="6" t="s">
        <v>17</v>
      </c>
      <c r="H570" s="6">
        <v>3</v>
      </c>
      <c r="I570" s="6">
        <v>372</v>
      </c>
      <c r="J570" s="11">
        <v>1116</v>
      </c>
      <c r="M570" s="6" t="str" cm="1">
        <f t="array" ref="M570">_xlfn.IFS(J570&lt;=500,"Low",J570&gt;=1500,"Mid",J570&lt;=1500,"High",TRUE,"no")</f>
        <v>High</v>
      </c>
      <c r="N570" s="6"/>
      <c r="O570" s="6" t="str">
        <f t="shared" si="16"/>
        <v>Bob</v>
      </c>
    </row>
    <row r="571" spans="1:15" x14ac:dyDescent="0.3">
      <c r="A571" s="10">
        <v>570</v>
      </c>
      <c r="B571" s="18">
        <v>45496</v>
      </c>
      <c r="C571" s="6" t="s">
        <v>589</v>
      </c>
      <c r="D571" s="6" t="s">
        <v>3</v>
      </c>
      <c r="E571" s="6" t="s">
        <v>19</v>
      </c>
      <c r="F571" s="6">
        <v>44</v>
      </c>
      <c r="G571" s="6" t="s">
        <v>20</v>
      </c>
      <c r="H571" s="6">
        <v>5</v>
      </c>
      <c r="I571" s="6">
        <v>263</v>
      </c>
      <c r="J571" s="11">
        <v>1315</v>
      </c>
      <c r="M571" s="6" t="str" cm="1">
        <f t="array" ref="M571">_xlfn.IFS(J571&lt;=500,"Low",J571&gt;=1500,"Mid",J571&lt;=1500,"High",TRUE,"no")</f>
        <v>High</v>
      </c>
      <c r="N571" s="6"/>
      <c r="O571" s="6" t="str">
        <f t="shared" si="16"/>
        <v>Bob</v>
      </c>
    </row>
    <row r="572" spans="1:15" x14ac:dyDescent="0.3">
      <c r="A572" s="10">
        <v>571</v>
      </c>
      <c r="B572" s="18">
        <v>45497</v>
      </c>
      <c r="C572" s="6" t="s">
        <v>590</v>
      </c>
      <c r="D572" s="6" t="s">
        <v>3</v>
      </c>
      <c r="E572" s="6" t="s">
        <v>19</v>
      </c>
      <c r="F572" s="6">
        <v>53</v>
      </c>
      <c r="G572" s="6" t="s">
        <v>23</v>
      </c>
      <c r="H572" s="6">
        <v>1</v>
      </c>
      <c r="I572" s="6">
        <v>367</v>
      </c>
      <c r="J572" s="11">
        <v>367</v>
      </c>
      <c r="M572" s="6" t="str" cm="1">
        <f t="array" ref="M572">_xlfn.IFS(J572&lt;=500,"Low",J572&gt;=1500,"Mid",J572&lt;=1500,"High",TRUE,"no")</f>
        <v>Low</v>
      </c>
      <c r="N572" s="6"/>
      <c r="O572" s="6" t="str">
        <f t="shared" si="16"/>
        <v>Bob</v>
      </c>
    </row>
    <row r="573" spans="1:15" x14ac:dyDescent="0.3">
      <c r="A573" s="10">
        <v>572</v>
      </c>
      <c r="B573" s="18">
        <v>45498</v>
      </c>
      <c r="C573" s="6" t="s">
        <v>591</v>
      </c>
      <c r="D573" s="6" t="s">
        <v>1</v>
      </c>
      <c r="E573" s="6" t="s">
        <v>14</v>
      </c>
      <c r="F573" s="6">
        <v>24</v>
      </c>
      <c r="G573" s="6" t="s">
        <v>20</v>
      </c>
      <c r="H573" s="6">
        <v>4</v>
      </c>
      <c r="I573" s="6">
        <v>188</v>
      </c>
      <c r="J573" s="11">
        <v>752</v>
      </c>
      <c r="M573" s="6" t="str" cm="1">
        <f t="array" ref="M573">_xlfn.IFS(J573&lt;=500,"Low",J573&gt;=1500,"Mid",J573&lt;=1500,"High",TRUE,"no")</f>
        <v>High</v>
      </c>
      <c r="N573" s="6"/>
      <c r="O573" s="6" t="str">
        <f t="shared" si="16"/>
        <v>Charlie</v>
      </c>
    </row>
    <row r="574" spans="1:15" x14ac:dyDescent="0.3">
      <c r="A574" s="10">
        <v>573</v>
      </c>
      <c r="B574" s="18">
        <v>45499</v>
      </c>
      <c r="C574" s="6" t="s">
        <v>592</v>
      </c>
      <c r="D574" s="6" t="s">
        <v>2</v>
      </c>
      <c r="E574" s="6" t="s">
        <v>14</v>
      </c>
      <c r="F574" s="6">
        <v>32</v>
      </c>
      <c r="G574" s="6" t="s">
        <v>15</v>
      </c>
      <c r="H574" s="6">
        <v>1</v>
      </c>
      <c r="I574" s="6">
        <v>32</v>
      </c>
      <c r="J574" s="11">
        <v>32</v>
      </c>
      <c r="M574" s="6" t="str" cm="1">
        <f t="array" ref="M574">_xlfn.IFS(J574&lt;=500,"Low",J574&gt;=1500,"Mid",J574&lt;=1500,"High",TRUE,"no")</f>
        <v>Low</v>
      </c>
      <c r="N574" s="6"/>
      <c r="O574" s="6" t="str">
        <f t="shared" si="16"/>
        <v>Diana</v>
      </c>
    </row>
    <row r="575" spans="1:15" x14ac:dyDescent="0.3">
      <c r="A575" s="10">
        <v>574</v>
      </c>
      <c r="B575" s="18">
        <v>45500</v>
      </c>
      <c r="C575" s="6" t="s">
        <v>593</v>
      </c>
      <c r="D575" s="6" t="s">
        <v>2</v>
      </c>
      <c r="E575" s="6" t="s">
        <v>19</v>
      </c>
      <c r="F575" s="6">
        <v>53</v>
      </c>
      <c r="G575" s="6" t="s">
        <v>20</v>
      </c>
      <c r="H575" s="6">
        <v>3</v>
      </c>
      <c r="I575" s="6">
        <v>27</v>
      </c>
      <c r="J575" s="11">
        <v>81</v>
      </c>
      <c r="M575" s="6" t="str" cm="1">
        <f t="array" ref="M575">_xlfn.IFS(J575&lt;=500,"Low",J575&gt;=1500,"Mid",J575&lt;=1500,"High",TRUE,"no")</f>
        <v>Low</v>
      </c>
      <c r="N575" s="6"/>
      <c r="O575" s="6" t="str">
        <f t="shared" si="16"/>
        <v>Diana</v>
      </c>
    </row>
    <row r="576" spans="1:15" x14ac:dyDescent="0.3">
      <c r="A576" s="10">
        <v>575</v>
      </c>
      <c r="B576" s="18">
        <v>45501</v>
      </c>
      <c r="C576" s="6" t="s">
        <v>594</v>
      </c>
      <c r="D576" s="6" t="s">
        <v>1</v>
      </c>
      <c r="E576" s="6" t="s">
        <v>19</v>
      </c>
      <c r="F576" s="6">
        <v>39</v>
      </c>
      <c r="G576" s="6" t="s">
        <v>27</v>
      </c>
      <c r="H576" s="6">
        <v>2</v>
      </c>
      <c r="I576" s="6">
        <v>188</v>
      </c>
      <c r="J576" s="11">
        <v>376</v>
      </c>
      <c r="M576" s="6" t="str" cm="1">
        <f t="array" ref="M576">_xlfn.IFS(J576&lt;=500,"Low",J576&gt;=1500,"Mid",J576&lt;=1500,"High",TRUE,"no")</f>
        <v>Low</v>
      </c>
      <c r="N576" s="6"/>
      <c r="O576" s="6" t="str">
        <f t="shared" si="16"/>
        <v>Charlie</v>
      </c>
    </row>
    <row r="577" spans="1:15" x14ac:dyDescent="0.3">
      <c r="A577" s="10">
        <v>576</v>
      </c>
      <c r="B577" s="18">
        <v>45502</v>
      </c>
      <c r="C577" s="6" t="s">
        <v>595</v>
      </c>
      <c r="D577" s="6" t="s">
        <v>4</v>
      </c>
      <c r="E577" s="6" t="s">
        <v>14</v>
      </c>
      <c r="F577" s="6">
        <v>40</v>
      </c>
      <c r="G577" s="6" t="s">
        <v>23</v>
      </c>
      <c r="H577" s="6">
        <v>3</v>
      </c>
      <c r="I577" s="6">
        <v>442</v>
      </c>
      <c r="J577" s="11">
        <v>1326</v>
      </c>
      <c r="M577" s="6" t="str" cm="1">
        <f t="array" ref="M577">_xlfn.IFS(J577&lt;=500,"Low",J577&gt;=1500,"Mid",J577&lt;=1500,"High",TRUE,"no")</f>
        <v>High</v>
      </c>
      <c r="N577" s="6"/>
      <c r="O577" s="6" t="str">
        <f t="shared" si="16"/>
        <v>Alice</v>
      </c>
    </row>
    <row r="578" spans="1:15" x14ac:dyDescent="0.3">
      <c r="A578" s="10">
        <v>577</v>
      </c>
      <c r="B578" s="18">
        <v>45503</v>
      </c>
      <c r="C578" s="6" t="s">
        <v>596</v>
      </c>
      <c r="D578" s="6" t="s">
        <v>2</v>
      </c>
      <c r="E578" s="6" t="s">
        <v>14</v>
      </c>
      <c r="F578" s="6">
        <v>55</v>
      </c>
      <c r="G578" s="6" t="s">
        <v>20</v>
      </c>
      <c r="H578" s="6">
        <v>4</v>
      </c>
      <c r="I578" s="6">
        <v>105</v>
      </c>
      <c r="J578" s="11">
        <v>420</v>
      </c>
      <c r="M578" s="6" t="str" cm="1">
        <f t="array" ref="M578">_xlfn.IFS(J578&lt;=500,"Low",J578&gt;=1500,"Mid",J578&lt;=1500,"High",TRUE,"no")</f>
        <v>Low</v>
      </c>
      <c r="N578" s="6"/>
      <c r="O578" s="6" t="str">
        <f t="shared" si="16"/>
        <v>Diana</v>
      </c>
    </row>
    <row r="579" spans="1:15" x14ac:dyDescent="0.3">
      <c r="A579" s="10">
        <v>578</v>
      </c>
      <c r="B579" s="18">
        <v>45504</v>
      </c>
      <c r="C579" s="6" t="s">
        <v>597</v>
      </c>
      <c r="D579" s="6" t="s">
        <v>4</v>
      </c>
      <c r="E579" s="6" t="s">
        <v>14</v>
      </c>
      <c r="F579" s="6">
        <v>40</v>
      </c>
      <c r="G579" s="6" t="s">
        <v>15</v>
      </c>
      <c r="H579" s="6">
        <v>5</v>
      </c>
      <c r="I579" s="6">
        <v>335</v>
      </c>
      <c r="J579" s="11">
        <v>1675</v>
      </c>
      <c r="M579" s="6" t="str" cm="1">
        <f t="array" ref="M579">_xlfn.IFS(J579&lt;=500,"Low",J579&gt;=1500,"Mid",J579&lt;=1500,"High",TRUE,"no")</f>
        <v>Mid</v>
      </c>
      <c r="N579" s="6"/>
      <c r="O579" s="6" t="str">
        <f t="shared" ref="O579:O642" si="17">INDEX(D579:D1578,MATCH($D$2,$D$2:$D$1001,0))</f>
        <v>Alice</v>
      </c>
    </row>
    <row r="580" spans="1:15" x14ac:dyDescent="0.3">
      <c r="A580" s="10">
        <v>579</v>
      </c>
      <c r="B580" s="18">
        <v>45505</v>
      </c>
      <c r="C580" s="6" t="s">
        <v>598</v>
      </c>
      <c r="D580" s="6" t="s">
        <v>2</v>
      </c>
      <c r="E580" s="6" t="s">
        <v>19</v>
      </c>
      <c r="F580" s="6">
        <v>29</v>
      </c>
      <c r="G580" s="6" t="s">
        <v>15</v>
      </c>
      <c r="H580" s="6">
        <v>4</v>
      </c>
      <c r="I580" s="6">
        <v>257</v>
      </c>
      <c r="J580" s="11">
        <v>1028</v>
      </c>
      <c r="M580" s="6" t="str" cm="1">
        <f t="array" ref="M580">_xlfn.IFS(J580&lt;=500,"Low",J580&gt;=1500,"Mid",J580&lt;=1500,"High",TRUE,"no")</f>
        <v>High</v>
      </c>
      <c r="N580" s="6"/>
      <c r="O580" s="6" t="str">
        <f t="shared" si="17"/>
        <v>Diana</v>
      </c>
    </row>
    <row r="581" spans="1:15" x14ac:dyDescent="0.3">
      <c r="A581" s="10">
        <v>580</v>
      </c>
      <c r="B581" s="18">
        <v>45506</v>
      </c>
      <c r="C581" s="6" t="s">
        <v>599</v>
      </c>
      <c r="D581" s="6" t="s">
        <v>4</v>
      </c>
      <c r="E581" s="6" t="s">
        <v>14</v>
      </c>
      <c r="F581" s="6">
        <v>18</v>
      </c>
      <c r="G581" s="6" t="s">
        <v>23</v>
      </c>
      <c r="H581" s="6">
        <v>2</v>
      </c>
      <c r="I581" s="6">
        <v>230</v>
      </c>
      <c r="J581" s="11">
        <v>460</v>
      </c>
      <c r="M581" s="6" t="str" cm="1">
        <f t="array" ref="M581">_xlfn.IFS(J581&lt;=500,"Low",J581&gt;=1500,"Mid",J581&lt;=1500,"High",TRUE,"no")</f>
        <v>Low</v>
      </c>
      <c r="N581" s="6"/>
      <c r="O581" s="6" t="str">
        <f t="shared" si="17"/>
        <v>Alice</v>
      </c>
    </row>
    <row r="582" spans="1:15" x14ac:dyDescent="0.3">
      <c r="A582" s="10">
        <v>581</v>
      </c>
      <c r="B582" s="18">
        <v>45507</v>
      </c>
      <c r="C582" s="6" t="s">
        <v>600</v>
      </c>
      <c r="D582" s="6" t="s">
        <v>1</v>
      </c>
      <c r="E582" s="6" t="s">
        <v>19</v>
      </c>
      <c r="F582" s="6">
        <v>60</v>
      </c>
      <c r="G582" s="6" t="s">
        <v>15</v>
      </c>
      <c r="H582" s="6">
        <v>3</v>
      </c>
      <c r="I582" s="6">
        <v>279</v>
      </c>
      <c r="J582" s="11">
        <v>837</v>
      </c>
      <c r="M582" s="6" t="str" cm="1">
        <f t="array" ref="M582">_xlfn.IFS(J582&lt;=500,"Low",J582&gt;=1500,"Mid",J582&lt;=1500,"High",TRUE,"no")</f>
        <v>High</v>
      </c>
      <c r="N582" s="6"/>
      <c r="O582" s="6" t="str">
        <f t="shared" si="17"/>
        <v>Charlie</v>
      </c>
    </row>
    <row r="583" spans="1:15" x14ac:dyDescent="0.3">
      <c r="A583" s="10">
        <v>582</v>
      </c>
      <c r="B583" s="18">
        <v>45508</v>
      </c>
      <c r="C583" s="6" t="s">
        <v>601</v>
      </c>
      <c r="D583" s="6" t="s">
        <v>3</v>
      </c>
      <c r="E583" s="6" t="s">
        <v>14</v>
      </c>
      <c r="F583" s="6">
        <v>26</v>
      </c>
      <c r="G583" s="6" t="s">
        <v>27</v>
      </c>
      <c r="H583" s="6">
        <v>5</v>
      </c>
      <c r="I583" s="6">
        <v>367</v>
      </c>
      <c r="J583" s="11">
        <v>1835</v>
      </c>
      <c r="M583" s="6" t="str" cm="1">
        <f t="array" ref="M583">_xlfn.IFS(J583&lt;=500,"Low",J583&gt;=1500,"Mid",J583&lt;=1500,"High",TRUE,"no")</f>
        <v>Mid</v>
      </c>
      <c r="N583" s="6"/>
      <c r="O583" s="6" t="str">
        <f t="shared" si="17"/>
        <v>Bob</v>
      </c>
    </row>
    <row r="584" spans="1:15" x14ac:dyDescent="0.3">
      <c r="A584" s="10">
        <v>583</v>
      </c>
      <c r="B584" s="18">
        <v>45509</v>
      </c>
      <c r="C584" s="6" t="s">
        <v>602</v>
      </c>
      <c r="D584" s="6" t="s">
        <v>4</v>
      </c>
      <c r="E584" s="6" t="s">
        <v>14</v>
      </c>
      <c r="F584" s="6">
        <v>58</v>
      </c>
      <c r="G584" s="6" t="s">
        <v>15</v>
      </c>
      <c r="H584" s="6">
        <v>1</v>
      </c>
      <c r="I584" s="6">
        <v>241</v>
      </c>
      <c r="J584" s="11">
        <v>241</v>
      </c>
      <c r="M584" s="6" t="str" cm="1">
        <f t="array" ref="M584">_xlfn.IFS(J584&lt;=500,"Low",J584&gt;=1500,"Mid",J584&lt;=1500,"High",TRUE,"no")</f>
        <v>Low</v>
      </c>
      <c r="N584" s="6"/>
      <c r="O584" s="6" t="str">
        <f t="shared" si="17"/>
        <v>Alice</v>
      </c>
    </row>
    <row r="585" spans="1:15" x14ac:dyDescent="0.3">
      <c r="A585" s="10">
        <v>584</v>
      </c>
      <c r="B585" s="18">
        <v>45510</v>
      </c>
      <c r="C585" s="6" t="s">
        <v>603</v>
      </c>
      <c r="D585" s="6" t="s">
        <v>3</v>
      </c>
      <c r="E585" s="6" t="s">
        <v>14</v>
      </c>
      <c r="F585" s="6">
        <v>49</v>
      </c>
      <c r="G585" s="6" t="s">
        <v>23</v>
      </c>
      <c r="H585" s="6">
        <v>1</v>
      </c>
      <c r="I585" s="6">
        <v>155</v>
      </c>
      <c r="J585" s="11">
        <v>155</v>
      </c>
      <c r="M585" s="6" t="str" cm="1">
        <f t="array" ref="M585">_xlfn.IFS(J585&lt;=500,"Low",J585&gt;=1500,"Mid",J585&lt;=1500,"High",TRUE,"no")</f>
        <v>Low</v>
      </c>
      <c r="N585" s="6"/>
      <c r="O585" s="6" t="str">
        <f t="shared" si="17"/>
        <v>Bob</v>
      </c>
    </row>
    <row r="586" spans="1:15" x14ac:dyDescent="0.3">
      <c r="A586" s="10">
        <v>585</v>
      </c>
      <c r="B586" s="18">
        <v>45511</v>
      </c>
      <c r="C586" s="6" t="s">
        <v>604</v>
      </c>
      <c r="D586" s="6" t="s">
        <v>4</v>
      </c>
      <c r="E586" s="6" t="s">
        <v>19</v>
      </c>
      <c r="F586" s="6">
        <v>24</v>
      </c>
      <c r="G586" s="6" t="s">
        <v>17</v>
      </c>
      <c r="H586" s="6">
        <v>4</v>
      </c>
      <c r="I586" s="6">
        <v>184</v>
      </c>
      <c r="J586" s="11">
        <v>736</v>
      </c>
      <c r="M586" s="6" t="str" cm="1">
        <f t="array" ref="M586">_xlfn.IFS(J586&lt;=500,"Low",J586&gt;=1500,"Mid",J586&lt;=1500,"High",TRUE,"no")</f>
        <v>High</v>
      </c>
      <c r="N586" s="6"/>
      <c r="O586" s="6" t="str">
        <f t="shared" si="17"/>
        <v>Alice</v>
      </c>
    </row>
    <row r="587" spans="1:15" x14ac:dyDescent="0.3">
      <c r="A587" s="10">
        <v>586</v>
      </c>
      <c r="B587" s="18">
        <v>45512</v>
      </c>
      <c r="C587" s="6" t="s">
        <v>605</v>
      </c>
      <c r="D587" s="6" t="s">
        <v>4</v>
      </c>
      <c r="E587" s="6" t="s">
        <v>14</v>
      </c>
      <c r="F587" s="6">
        <v>60</v>
      </c>
      <c r="G587" s="6" t="s">
        <v>15</v>
      </c>
      <c r="H587" s="6">
        <v>5</v>
      </c>
      <c r="I587" s="6">
        <v>325</v>
      </c>
      <c r="J587" s="11">
        <v>1625</v>
      </c>
      <c r="M587" s="6" t="str" cm="1">
        <f t="array" ref="M587">_xlfn.IFS(J587&lt;=500,"Low",J587&gt;=1500,"Mid",J587&lt;=1500,"High",TRUE,"no")</f>
        <v>Mid</v>
      </c>
      <c r="N587" s="6"/>
      <c r="O587" s="6" t="str">
        <f t="shared" si="17"/>
        <v>Alice</v>
      </c>
    </row>
    <row r="588" spans="1:15" x14ac:dyDescent="0.3">
      <c r="A588" s="10">
        <v>587</v>
      </c>
      <c r="B588" s="18">
        <v>45513</v>
      </c>
      <c r="C588" s="6" t="s">
        <v>606</v>
      </c>
      <c r="D588" s="6" t="s">
        <v>4</v>
      </c>
      <c r="E588" s="6" t="s">
        <v>19</v>
      </c>
      <c r="F588" s="6">
        <v>32</v>
      </c>
      <c r="G588" s="6" t="s">
        <v>27</v>
      </c>
      <c r="H588" s="6">
        <v>3</v>
      </c>
      <c r="I588" s="6">
        <v>455</v>
      </c>
      <c r="J588" s="11">
        <v>1365</v>
      </c>
      <c r="M588" s="6" t="str" cm="1">
        <f t="array" ref="M588">_xlfn.IFS(J588&lt;=500,"Low",J588&gt;=1500,"Mid",J588&lt;=1500,"High",TRUE,"no")</f>
        <v>High</v>
      </c>
      <c r="N588" s="6"/>
      <c r="O588" s="6" t="str">
        <f t="shared" si="17"/>
        <v>Alice</v>
      </c>
    </row>
    <row r="589" spans="1:15" x14ac:dyDescent="0.3">
      <c r="A589" s="10">
        <v>588</v>
      </c>
      <c r="B589" s="18">
        <v>45514</v>
      </c>
      <c r="C589" s="6" t="s">
        <v>607</v>
      </c>
      <c r="D589" s="6" t="s">
        <v>4</v>
      </c>
      <c r="E589" s="6" t="s">
        <v>14</v>
      </c>
      <c r="F589" s="6">
        <v>35</v>
      </c>
      <c r="G589" s="6" t="s">
        <v>15</v>
      </c>
      <c r="H589" s="6">
        <v>1</v>
      </c>
      <c r="I589" s="6">
        <v>413</v>
      </c>
      <c r="J589" s="11">
        <v>413</v>
      </c>
      <c r="M589" s="6" t="str" cm="1">
        <f t="array" ref="M589">_xlfn.IFS(J589&lt;=500,"Low",J589&gt;=1500,"Mid",J589&lt;=1500,"High",TRUE,"no")</f>
        <v>Low</v>
      </c>
      <c r="N589" s="6"/>
      <c r="O589" s="6" t="str">
        <f t="shared" si="17"/>
        <v>Alice</v>
      </c>
    </row>
    <row r="590" spans="1:15" x14ac:dyDescent="0.3">
      <c r="A590" s="10">
        <v>589</v>
      </c>
      <c r="B590" s="18">
        <v>45515</v>
      </c>
      <c r="C590" s="6" t="s">
        <v>608</v>
      </c>
      <c r="D590" s="6" t="s">
        <v>4</v>
      </c>
      <c r="E590" s="6" t="s">
        <v>14</v>
      </c>
      <c r="F590" s="6">
        <v>19</v>
      </c>
      <c r="G590" s="6" t="s">
        <v>23</v>
      </c>
      <c r="H590" s="6">
        <v>3</v>
      </c>
      <c r="I590" s="6">
        <v>26</v>
      </c>
      <c r="J590" s="11">
        <v>78</v>
      </c>
      <c r="M590" s="6" t="str" cm="1">
        <f t="array" ref="M590">_xlfn.IFS(J590&lt;=500,"Low",J590&gt;=1500,"Mid",J590&lt;=1500,"High",TRUE,"no")</f>
        <v>Low</v>
      </c>
      <c r="N590" s="6"/>
      <c r="O590" s="6" t="str">
        <f t="shared" si="17"/>
        <v>Alice</v>
      </c>
    </row>
    <row r="591" spans="1:15" x14ac:dyDescent="0.3">
      <c r="A591" s="10">
        <v>590</v>
      </c>
      <c r="B591" s="18">
        <v>45516</v>
      </c>
      <c r="C591" s="6" t="s">
        <v>609</v>
      </c>
      <c r="D591" s="6" t="s">
        <v>3</v>
      </c>
      <c r="E591" s="6" t="s">
        <v>19</v>
      </c>
      <c r="F591" s="6">
        <v>45</v>
      </c>
      <c r="G591" s="6" t="s">
        <v>20</v>
      </c>
      <c r="H591" s="6">
        <v>3</v>
      </c>
      <c r="I591" s="6">
        <v>259</v>
      </c>
      <c r="J591" s="11">
        <v>777</v>
      </c>
      <c r="M591" s="6" t="str" cm="1">
        <f t="array" ref="M591">_xlfn.IFS(J591&lt;=500,"Low",J591&gt;=1500,"Mid",J591&lt;=1500,"High",TRUE,"no")</f>
        <v>High</v>
      </c>
      <c r="N591" s="6"/>
      <c r="O591" s="6" t="str">
        <f t="shared" si="17"/>
        <v>Bob</v>
      </c>
    </row>
    <row r="592" spans="1:15" x14ac:dyDescent="0.3">
      <c r="A592" s="10">
        <v>591</v>
      </c>
      <c r="B592" s="18">
        <v>45517</v>
      </c>
      <c r="C592" s="6" t="s">
        <v>610</v>
      </c>
      <c r="D592" s="6" t="s">
        <v>4</v>
      </c>
      <c r="E592" s="6" t="s">
        <v>14</v>
      </c>
      <c r="F592" s="6">
        <v>41</v>
      </c>
      <c r="G592" s="6" t="s">
        <v>27</v>
      </c>
      <c r="H592" s="6">
        <v>3</v>
      </c>
      <c r="I592" s="6">
        <v>350</v>
      </c>
      <c r="J592" s="11">
        <v>1050</v>
      </c>
      <c r="M592" s="6" t="str" cm="1">
        <f t="array" ref="M592">_xlfn.IFS(J592&lt;=500,"Low",J592&gt;=1500,"Mid",J592&lt;=1500,"High",TRUE,"no")</f>
        <v>High</v>
      </c>
      <c r="N592" s="6"/>
      <c r="O592" s="6" t="str">
        <f t="shared" si="17"/>
        <v>Alice</v>
      </c>
    </row>
    <row r="593" spans="1:15" x14ac:dyDescent="0.3">
      <c r="A593" s="10">
        <v>592</v>
      </c>
      <c r="B593" s="18">
        <v>45518</v>
      </c>
      <c r="C593" s="6" t="s">
        <v>611</v>
      </c>
      <c r="D593" s="6" t="s">
        <v>3</v>
      </c>
      <c r="E593" s="6" t="s">
        <v>14</v>
      </c>
      <c r="F593" s="6">
        <v>27</v>
      </c>
      <c r="G593" s="6" t="s">
        <v>17</v>
      </c>
      <c r="H593" s="6">
        <v>4</v>
      </c>
      <c r="I593" s="6">
        <v>92</v>
      </c>
      <c r="J593" s="11">
        <v>368</v>
      </c>
      <c r="M593" s="6" t="str" cm="1">
        <f t="array" ref="M593">_xlfn.IFS(J593&lt;=500,"Low",J593&gt;=1500,"Mid",J593&lt;=1500,"High",TRUE,"no")</f>
        <v>Low</v>
      </c>
      <c r="N593" s="6"/>
      <c r="O593" s="6" t="str">
        <f t="shared" si="17"/>
        <v>Bob</v>
      </c>
    </row>
    <row r="594" spans="1:15" x14ac:dyDescent="0.3">
      <c r="A594" s="10">
        <v>593</v>
      </c>
      <c r="B594" s="18">
        <v>45519</v>
      </c>
      <c r="C594" s="6" t="s">
        <v>612</v>
      </c>
      <c r="D594" s="6" t="s">
        <v>1</v>
      </c>
      <c r="E594" s="6" t="s">
        <v>14</v>
      </c>
      <c r="F594" s="6">
        <v>53</v>
      </c>
      <c r="G594" s="6" t="s">
        <v>20</v>
      </c>
      <c r="H594" s="6">
        <v>3</v>
      </c>
      <c r="I594" s="6">
        <v>232</v>
      </c>
      <c r="J594" s="11">
        <v>696</v>
      </c>
      <c r="M594" s="6" t="str" cm="1">
        <f t="array" ref="M594">_xlfn.IFS(J594&lt;=500,"Low",J594&gt;=1500,"Mid",J594&lt;=1500,"High",TRUE,"no")</f>
        <v>High</v>
      </c>
      <c r="N594" s="6"/>
      <c r="O594" s="6" t="str">
        <f t="shared" si="17"/>
        <v>Charlie</v>
      </c>
    </row>
    <row r="595" spans="1:15" x14ac:dyDescent="0.3">
      <c r="A595" s="10">
        <v>594</v>
      </c>
      <c r="B595" s="18">
        <v>45520</v>
      </c>
      <c r="C595" s="6" t="s">
        <v>613</v>
      </c>
      <c r="D595" s="6" t="s">
        <v>2</v>
      </c>
      <c r="E595" s="6" t="s">
        <v>19</v>
      </c>
      <c r="F595" s="6">
        <v>41</v>
      </c>
      <c r="G595" s="6" t="s">
        <v>15</v>
      </c>
      <c r="H595" s="6">
        <v>4</v>
      </c>
      <c r="I595" s="6">
        <v>300</v>
      </c>
      <c r="J595" s="11">
        <v>1200</v>
      </c>
      <c r="M595" s="6" t="str" cm="1">
        <f t="array" ref="M595">_xlfn.IFS(J595&lt;=500,"Low",J595&gt;=1500,"Mid",J595&lt;=1500,"High",TRUE,"no")</f>
        <v>High</v>
      </c>
      <c r="N595" s="6"/>
      <c r="O595" s="6" t="str">
        <f t="shared" si="17"/>
        <v>Diana</v>
      </c>
    </row>
    <row r="596" spans="1:15" x14ac:dyDescent="0.3">
      <c r="A596" s="10">
        <v>595</v>
      </c>
      <c r="B596" s="18">
        <v>45521</v>
      </c>
      <c r="C596" s="6" t="s">
        <v>614</v>
      </c>
      <c r="D596" s="6" t="s">
        <v>4</v>
      </c>
      <c r="E596" s="6" t="s">
        <v>14</v>
      </c>
      <c r="F596" s="6">
        <v>30</v>
      </c>
      <c r="G596" s="6" t="s">
        <v>27</v>
      </c>
      <c r="H596" s="6">
        <v>2</v>
      </c>
      <c r="I596" s="6">
        <v>488</v>
      </c>
      <c r="J596" s="11">
        <v>976</v>
      </c>
      <c r="M596" s="6" t="str" cm="1">
        <f t="array" ref="M596">_xlfn.IFS(J596&lt;=500,"Low",J596&gt;=1500,"Mid",J596&lt;=1500,"High",TRUE,"no")</f>
        <v>High</v>
      </c>
      <c r="N596" s="6"/>
      <c r="O596" s="6" t="str">
        <f t="shared" si="17"/>
        <v>Alice</v>
      </c>
    </row>
    <row r="597" spans="1:15" x14ac:dyDescent="0.3">
      <c r="A597" s="10">
        <v>596</v>
      </c>
      <c r="B597" s="18">
        <v>45522</v>
      </c>
      <c r="C597" s="6" t="s">
        <v>615</v>
      </c>
      <c r="D597" s="6" t="s">
        <v>2</v>
      </c>
      <c r="E597" s="6" t="s">
        <v>19</v>
      </c>
      <c r="F597" s="6">
        <v>24</v>
      </c>
      <c r="G597" s="6" t="s">
        <v>27</v>
      </c>
      <c r="H597" s="6">
        <v>3</v>
      </c>
      <c r="I597" s="6">
        <v>232</v>
      </c>
      <c r="J597" s="11">
        <v>696</v>
      </c>
      <c r="M597" s="6" t="str" cm="1">
        <f t="array" ref="M597">_xlfn.IFS(J597&lt;=500,"Low",J597&gt;=1500,"Mid",J597&lt;=1500,"High",TRUE,"no")</f>
        <v>High</v>
      </c>
      <c r="N597" s="6"/>
      <c r="O597" s="6" t="str">
        <f t="shared" si="17"/>
        <v>Diana</v>
      </c>
    </row>
    <row r="598" spans="1:15" x14ac:dyDescent="0.3">
      <c r="A598" s="10">
        <v>597</v>
      </c>
      <c r="B598" s="18">
        <v>45523</v>
      </c>
      <c r="C598" s="6" t="s">
        <v>616</v>
      </c>
      <c r="D598" s="6" t="s">
        <v>3</v>
      </c>
      <c r="E598" s="6" t="s">
        <v>14</v>
      </c>
      <c r="F598" s="6">
        <v>57</v>
      </c>
      <c r="G598" s="6" t="s">
        <v>17</v>
      </c>
      <c r="H598" s="6">
        <v>3</v>
      </c>
      <c r="I598" s="6">
        <v>186</v>
      </c>
      <c r="J598" s="11">
        <v>558</v>
      </c>
      <c r="M598" s="6" t="str" cm="1">
        <f t="array" ref="M598">_xlfn.IFS(J598&lt;=500,"Low",J598&gt;=1500,"Mid",J598&lt;=1500,"High",TRUE,"no")</f>
        <v>High</v>
      </c>
      <c r="N598" s="6"/>
      <c r="O598" s="6" t="str">
        <f t="shared" si="17"/>
        <v>Bob</v>
      </c>
    </row>
    <row r="599" spans="1:15" x14ac:dyDescent="0.3">
      <c r="A599" s="10">
        <v>598</v>
      </c>
      <c r="B599" s="18">
        <v>45524</v>
      </c>
      <c r="C599" s="6" t="s">
        <v>617</v>
      </c>
      <c r="D599" s="6" t="s">
        <v>1</v>
      </c>
      <c r="E599" s="6" t="s">
        <v>19</v>
      </c>
      <c r="F599" s="6">
        <v>49</v>
      </c>
      <c r="G599" s="6" t="s">
        <v>23</v>
      </c>
      <c r="H599" s="6">
        <v>4</v>
      </c>
      <c r="I599" s="6">
        <v>50</v>
      </c>
      <c r="J599" s="11">
        <v>200</v>
      </c>
      <c r="M599" s="6" t="str" cm="1">
        <f t="array" ref="M599">_xlfn.IFS(J599&lt;=500,"Low",J599&gt;=1500,"Mid",J599&lt;=1500,"High",TRUE,"no")</f>
        <v>Low</v>
      </c>
      <c r="N599" s="6"/>
      <c r="O599" s="6" t="str">
        <f t="shared" si="17"/>
        <v>Charlie</v>
      </c>
    </row>
    <row r="600" spans="1:15" x14ac:dyDescent="0.3">
      <c r="A600" s="10">
        <v>599</v>
      </c>
      <c r="B600" s="18">
        <v>45525</v>
      </c>
      <c r="C600" s="6" t="s">
        <v>618</v>
      </c>
      <c r="D600" s="6" t="s">
        <v>1</v>
      </c>
      <c r="E600" s="6" t="s">
        <v>19</v>
      </c>
      <c r="F600" s="6">
        <v>47</v>
      </c>
      <c r="G600" s="6" t="s">
        <v>23</v>
      </c>
      <c r="H600" s="6">
        <v>3</v>
      </c>
      <c r="I600" s="6">
        <v>32</v>
      </c>
      <c r="J600" s="11">
        <v>96</v>
      </c>
      <c r="M600" s="6" t="str" cm="1">
        <f t="array" ref="M600">_xlfn.IFS(J600&lt;=500,"Low",J600&gt;=1500,"Mid",J600&lt;=1500,"High",TRUE,"no")</f>
        <v>Low</v>
      </c>
      <c r="N600" s="6"/>
      <c r="O600" s="6" t="str">
        <f t="shared" si="17"/>
        <v>Charlie</v>
      </c>
    </row>
    <row r="601" spans="1:15" x14ac:dyDescent="0.3">
      <c r="A601" s="10">
        <v>600</v>
      </c>
      <c r="B601" s="18">
        <v>45526</v>
      </c>
      <c r="C601" s="6" t="s">
        <v>619</v>
      </c>
      <c r="D601" s="6" t="s">
        <v>1</v>
      </c>
      <c r="E601" s="6" t="s">
        <v>19</v>
      </c>
      <c r="F601" s="6">
        <v>18</v>
      </c>
      <c r="G601" s="6" t="s">
        <v>27</v>
      </c>
      <c r="H601" s="6">
        <v>3</v>
      </c>
      <c r="I601" s="6">
        <v>361</v>
      </c>
      <c r="J601" s="11">
        <v>1083</v>
      </c>
      <c r="M601" s="6" t="str" cm="1">
        <f t="array" ref="M601">_xlfn.IFS(J601&lt;=500,"Low",J601&gt;=1500,"Mid",J601&lt;=1500,"High",TRUE,"no")</f>
        <v>High</v>
      </c>
      <c r="N601" s="6"/>
      <c r="O601" s="6" t="str">
        <f t="shared" si="17"/>
        <v>Charlie</v>
      </c>
    </row>
    <row r="602" spans="1:15" x14ac:dyDescent="0.3">
      <c r="A602" s="10">
        <v>601</v>
      </c>
      <c r="B602" s="18">
        <v>45527</v>
      </c>
      <c r="C602" s="6" t="s">
        <v>620</v>
      </c>
      <c r="D602" s="6" t="s">
        <v>2</v>
      </c>
      <c r="E602" s="6" t="s">
        <v>14</v>
      </c>
      <c r="F602" s="6">
        <v>32</v>
      </c>
      <c r="G602" s="6" t="s">
        <v>23</v>
      </c>
      <c r="H602" s="6">
        <v>4</v>
      </c>
      <c r="I602" s="6">
        <v>420</v>
      </c>
      <c r="J602" s="11">
        <v>1680</v>
      </c>
      <c r="M602" s="6" t="str" cm="1">
        <f t="array" ref="M602">_xlfn.IFS(J602&lt;=500,"Low",J602&gt;=1500,"Mid",J602&lt;=1500,"High",TRUE,"no")</f>
        <v>Mid</v>
      </c>
      <c r="N602" s="6"/>
      <c r="O602" s="6" t="str">
        <f t="shared" si="17"/>
        <v>Diana</v>
      </c>
    </row>
    <row r="603" spans="1:15" x14ac:dyDescent="0.3">
      <c r="A603" s="10">
        <v>602</v>
      </c>
      <c r="B603" s="18">
        <v>45528</v>
      </c>
      <c r="C603" s="6" t="s">
        <v>621</v>
      </c>
      <c r="D603" s="6" t="s">
        <v>3</v>
      </c>
      <c r="E603" s="6" t="s">
        <v>19</v>
      </c>
      <c r="F603" s="6">
        <v>54</v>
      </c>
      <c r="G603" s="6" t="s">
        <v>27</v>
      </c>
      <c r="H603" s="6">
        <v>3</v>
      </c>
      <c r="I603" s="6">
        <v>382</v>
      </c>
      <c r="J603" s="11">
        <v>1146</v>
      </c>
      <c r="M603" s="6" t="str" cm="1">
        <f t="array" ref="M603">_xlfn.IFS(J603&lt;=500,"Low",J603&gt;=1500,"Mid",J603&lt;=1500,"High",TRUE,"no")</f>
        <v>High</v>
      </c>
      <c r="N603" s="6"/>
      <c r="O603" s="6" t="str">
        <f t="shared" si="17"/>
        <v>Bob</v>
      </c>
    </row>
    <row r="604" spans="1:15" x14ac:dyDescent="0.3">
      <c r="A604" s="10">
        <v>603</v>
      </c>
      <c r="B604" s="18">
        <v>45529</v>
      </c>
      <c r="C604" s="6" t="s">
        <v>622</v>
      </c>
      <c r="D604" s="6" t="s">
        <v>4</v>
      </c>
      <c r="E604" s="6" t="s">
        <v>19</v>
      </c>
      <c r="F604" s="6">
        <v>35</v>
      </c>
      <c r="G604" s="6" t="s">
        <v>15</v>
      </c>
      <c r="H604" s="6">
        <v>5</v>
      </c>
      <c r="I604" s="6">
        <v>103</v>
      </c>
      <c r="J604" s="11">
        <v>515</v>
      </c>
      <c r="M604" s="6" t="str" cm="1">
        <f t="array" ref="M604">_xlfn.IFS(J604&lt;=500,"Low",J604&gt;=1500,"Mid",J604&lt;=1500,"High",TRUE,"no")</f>
        <v>High</v>
      </c>
      <c r="N604" s="6"/>
      <c r="O604" s="6" t="str">
        <f t="shared" si="17"/>
        <v>Alice</v>
      </c>
    </row>
    <row r="605" spans="1:15" x14ac:dyDescent="0.3">
      <c r="A605" s="10">
        <v>604</v>
      </c>
      <c r="B605" s="18">
        <v>45530</v>
      </c>
      <c r="C605" s="6" t="s">
        <v>623</v>
      </c>
      <c r="D605" s="6" t="s">
        <v>4</v>
      </c>
      <c r="E605" s="6" t="s">
        <v>19</v>
      </c>
      <c r="F605" s="6">
        <v>25</v>
      </c>
      <c r="G605" s="6" t="s">
        <v>15</v>
      </c>
      <c r="H605" s="6">
        <v>5</v>
      </c>
      <c r="I605" s="6">
        <v>158</v>
      </c>
      <c r="J605" s="11">
        <v>790</v>
      </c>
      <c r="M605" s="6" t="str" cm="1">
        <f t="array" ref="M605">_xlfn.IFS(J605&lt;=500,"Low",J605&gt;=1500,"Mid",J605&lt;=1500,"High",TRUE,"no")</f>
        <v>High</v>
      </c>
      <c r="N605" s="6"/>
      <c r="O605" s="6" t="str">
        <f t="shared" si="17"/>
        <v>Alice</v>
      </c>
    </row>
    <row r="606" spans="1:15" x14ac:dyDescent="0.3">
      <c r="A606" s="10">
        <v>605</v>
      </c>
      <c r="B606" s="18">
        <v>45531</v>
      </c>
      <c r="C606" s="6" t="s">
        <v>624</v>
      </c>
      <c r="D606" s="6" t="s">
        <v>3</v>
      </c>
      <c r="E606" s="6" t="s">
        <v>14</v>
      </c>
      <c r="F606" s="6">
        <v>56</v>
      </c>
      <c r="G606" s="6" t="s">
        <v>15</v>
      </c>
      <c r="H606" s="6">
        <v>4</v>
      </c>
      <c r="I606" s="6">
        <v>209</v>
      </c>
      <c r="J606" s="11">
        <v>836</v>
      </c>
      <c r="M606" s="6" t="str" cm="1">
        <f t="array" ref="M606">_xlfn.IFS(J606&lt;=500,"Low",J606&gt;=1500,"Mid",J606&lt;=1500,"High",TRUE,"no")</f>
        <v>High</v>
      </c>
      <c r="N606" s="6"/>
      <c r="O606" s="6" t="str">
        <f t="shared" si="17"/>
        <v>Bob</v>
      </c>
    </row>
    <row r="607" spans="1:15" x14ac:dyDescent="0.3">
      <c r="A607" s="10">
        <v>606</v>
      </c>
      <c r="B607" s="18">
        <v>45532</v>
      </c>
      <c r="C607" s="6" t="s">
        <v>625</v>
      </c>
      <c r="D607" s="6" t="s">
        <v>2</v>
      </c>
      <c r="E607" s="6" t="s">
        <v>19</v>
      </c>
      <c r="F607" s="6">
        <v>45</v>
      </c>
      <c r="G607" s="6" t="s">
        <v>23</v>
      </c>
      <c r="H607" s="6">
        <v>1</v>
      </c>
      <c r="I607" s="6">
        <v>384</v>
      </c>
      <c r="J607" s="11">
        <v>384</v>
      </c>
      <c r="M607" s="6" t="str" cm="1">
        <f t="array" ref="M607">_xlfn.IFS(J607&lt;=500,"Low",J607&gt;=1500,"Mid",J607&lt;=1500,"High",TRUE,"no")</f>
        <v>Low</v>
      </c>
      <c r="N607" s="6"/>
      <c r="O607" s="6" t="str">
        <f t="shared" si="17"/>
        <v>Diana</v>
      </c>
    </row>
    <row r="608" spans="1:15" x14ac:dyDescent="0.3">
      <c r="A608" s="10">
        <v>607</v>
      </c>
      <c r="B608" s="18">
        <v>45533</v>
      </c>
      <c r="C608" s="6" t="s">
        <v>626</v>
      </c>
      <c r="D608" s="6" t="s">
        <v>4</v>
      </c>
      <c r="E608" s="6" t="s">
        <v>14</v>
      </c>
      <c r="F608" s="6">
        <v>28</v>
      </c>
      <c r="G608" s="6" t="s">
        <v>20</v>
      </c>
      <c r="H608" s="6">
        <v>2</v>
      </c>
      <c r="I608" s="6">
        <v>430</v>
      </c>
      <c r="J608" s="11">
        <v>860</v>
      </c>
      <c r="M608" s="6" t="str" cm="1">
        <f t="array" ref="M608">_xlfn.IFS(J608&lt;=500,"Low",J608&gt;=1500,"Mid",J608&lt;=1500,"High",TRUE,"no")</f>
        <v>High</v>
      </c>
      <c r="N608" s="6"/>
      <c r="O608" s="6" t="str">
        <f t="shared" si="17"/>
        <v>Alice</v>
      </c>
    </row>
    <row r="609" spans="1:15" x14ac:dyDescent="0.3">
      <c r="A609" s="10">
        <v>608</v>
      </c>
      <c r="B609" s="18">
        <v>45534</v>
      </c>
      <c r="C609" s="6" t="s">
        <v>627</v>
      </c>
      <c r="D609" s="6" t="s">
        <v>3</v>
      </c>
      <c r="E609" s="6" t="s">
        <v>19</v>
      </c>
      <c r="F609" s="6">
        <v>49</v>
      </c>
      <c r="G609" s="6" t="s">
        <v>15</v>
      </c>
      <c r="H609" s="6">
        <v>4</v>
      </c>
      <c r="I609" s="6">
        <v>283</v>
      </c>
      <c r="J609" s="11">
        <v>1132</v>
      </c>
      <c r="M609" s="6" t="str" cm="1">
        <f t="array" ref="M609">_xlfn.IFS(J609&lt;=500,"Low",J609&gt;=1500,"Mid",J609&lt;=1500,"High",TRUE,"no")</f>
        <v>High</v>
      </c>
      <c r="N609" s="6"/>
      <c r="O609" s="6" t="str">
        <f t="shared" si="17"/>
        <v>Bob</v>
      </c>
    </row>
    <row r="610" spans="1:15" x14ac:dyDescent="0.3">
      <c r="A610" s="10">
        <v>609</v>
      </c>
      <c r="B610" s="18">
        <v>45535</v>
      </c>
      <c r="C610" s="6" t="s">
        <v>628</v>
      </c>
      <c r="D610" s="6" t="s">
        <v>4</v>
      </c>
      <c r="E610" s="6" t="s">
        <v>19</v>
      </c>
      <c r="F610" s="6">
        <v>58</v>
      </c>
      <c r="G610" s="6" t="s">
        <v>17</v>
      </c>
      <c r="H610" s="6">
        <v>4</v>
      </c>
      <c r="I610" s="6">
        <v>188</v>
      </c>
      <c r="J610" s="11">
        <v>752</v>
      </c>
      <c r="M610" s="6" t="str" cm="1">
        <f t="array" ref="M610">_xlfn.IFS(J610&lt;=500,"Low",J610&gt;=1500,"Mid",J610&lt;=1500,"High",TRUE,"no")</f>
        <v>High</v>
      </c>
      <c r="N610" s="6"/>
      <c r="O610" s="6" t="str">
        <f t="shared" si="17"/>
        <v>Alice</v>
      </c>
    </row>
    <row r="611" spans="1:15" x14ac:dyDescent="0.3">
      <c r="A611" s="10">
        <v>610</v>
      </c>
      <c r="B611" s="18">
        <v>45536</v>
      </c>
      <c r="C611" s="6" t="s">
        <v>629</v>
      </c>
      <c r="D611" s="6" t="s">
        <v>1</v>
      </c>
      <c r="E611" s="6" t="s">
        <v>19</v>
      </c>
      <c r="F611" s="6">
        <v>42</v>
      </c>
      <c r="G611" s="6" t="s">
        <v>27</v>
      </c>
      <c r="H611" s="6">
        <v>4</v>
      </c>
      <c r="I611" s="6">
        <v>362</v>
      </c>
      <c r="J611" s="11">
        <v>1448</v>
      </c>
      <c r="M611" s="6" t="str" cm="1">
        <f t="array" ref="M611">_xlfn.IFS(J611&lt;=500,"Low",J611&gt;=1500,"Mid",J611&lt;=1500,"High",TRUE,"no")</f>
        <v>High</v>
      </c>
      <c r="N611" s="6"/>
      <c r="O611" s="6" t="str">
        <f t="shared" si="17"/>
        <v>Charlie</v>
      </c>
    </row>
    <row r="612" spans="1:15" x14ac:dyDescent="0.3">
      <c r="A612" s="10">
        <v>611</v>
      </c>
      <c r="B612" s="18">
        <v>45537</v>
      </c>
      <c r="C612" s="6" t="s">
        <v>630</v>
      </c>
      <c r="D612" s="6" t="s">
        <v>4</v>
      </c>
      <c r="E612" s="6" t="s">
        <v>19</v>
      </c>
      <c r="F612" s="6">
        <v>41</v>
      </c>
      <c r="G612" s="6" t="s">
        <v>17</v>
      </c>
      <c r="H612" s="6">
        <v>4</v>
      </c>
      <c r="I612" s="6">
        <v>105</v>
      </c>
      <c r="J612" s="11">
        <v>420</v>
      </c>
      <c r="M612" s="6" t="str" cm="1">
        <f t="array" ref="M612">_xlfn.IFS(J612&lt;=500,"Low",J612&gt;=1500,"Mid",J612&lt;=1500,"High",TRUE,"no")</f>
        <v>Low</v>
      </c>
      <c r="N612" s="6"/>
      <c r="O612" s="6" t="str">
        <f t="shared" si="17"/>
        <v>Alice</v>
      </c>
    </row>
    <row r="613" spans="1:15" x14ac:dyDescent="0.3">
      <c r="A613" s="10">
        <v>612</v>
      </c>
      <c r="B613" s="18">
        <v>45538</v>
      </c>
      <c r="C613" s="6" t="s">
        <v>631</v>
      </c>
      <c r="D613" s="6" t="s">
        <v>2</v>
      </c>
      <c r="E613" s="6" t="s">
        <v>19</v>
      </c>
      <c r="F613" s="6">
        <v>27</v>
      </c>
      <c r="G613" s="6" t="s">
        <v>27</v>
      </c>
      <c r="H613" s="6">
        <v>5</v>
      </c>
      <c r="I613" s="6">
        <v>225</v>
      </c>
      <c r="J613" s="11">
        <v>1125</v>
      </c>
      <c r="M613" s="6" t="str" cm="1">
        <f t="array" ref="M613">_xlfn.IFS(J613&lt;=500,"Low",J613&gt;=1500,"Mid",J613&lt;=1500,"High",TRUE,"no")</f>
        <v>High</v>
      </c>
      <c r="N613" s="6"/>
      <c r="O613" s="6" t="str">
        <f t="shared" si="17"/>
        <v>Diana</v>
      </c>
    </row>
    <row r="614" spans="1:15" x14ac:dyDescent="0.3">
      <c r="A614" s="10">
        <v>613</v>
      </c>
      <c r="B614" s="18">
        <v>45539</v>
      </c>
      <c r="C614" s="6" t="s">
        <v>632</v>
      </c>
      <c r="D614" s="6" t="s">
        <v>3</v>
      </c>
      <c r="E614" s="6" t="s">
        <v>19</v>
      </c>
      <c r="F614" s="6">
        <v>24</v>
      </c>
      <c r="G614" s="6" t="s">
        <v>17</v>
      </c>
      <c r="H614" s="6">
        <v>4</v>
      </c>
      <c r="I614" s="6">
        <v>410</v>
      </c>
      <c r="J614" s="11">
        <v>1640</v>
      </c>
      <c r="M614" s="6" t="str" cm="1">
        <f t="array" ref="M614">_xlfn.IFS(J614&lt;=500,"Low",J614&gt;=1500,"Mid",J614&lt;=1500,"High",TRUE,"no")</f>
        <v>Mid</v>
      </c>
      <c r="N614" s="6"/>
      <c r="O614" s="6" t="str">
        <f t="shared" si="17"/>
        <v>Bob</v>
      </c>
    </row>
    <row r="615" spans="1:15" x14ac:dyDescent="0.3">
      <c r="A615" s="10">
        <v>614</v>
      </c>
      <c r="B615" s="18">
        <v>45540</v>
      </c>
      <c r="C615" s="6" t="s">
        <v>633</v>
      </c>
      <c r="D615" s="6" t="s">
        <v>2</v>
      </c>
      <c r="E615" s="6" t="s">
        <v>14</v>
      </c>
      <c r="F615" s="6">
        <v>39</v>
      </c>
      <c r="G615" s="6" t="s">
        <v>27</v>
      </c>
      <c r="H615" s="6">
        <v>4</v>
      </c>
      <c r="I615" s="6">
        <v>490</v>
      </c>
      <c r="J615" s="11">
        <v>1960</v>
      </c>
      <c r="M615" s="6" t="str" cm="1">
        <f t="array" ref="M615">_xlfn.IFS(J615&lt;=500,"Low",J615&gt;=1500,"Mid",J615&lt;=1500,"High",TRUE,"no")</f>
        <v>Mid</v>
      </c>
      <c r="N615" s="6"/>
      <c r="O615" s="6" t="str">
        <f t="shared" si="17"/>
        <v>Diana</v>
      </c>
    </row>
    <row r="616" spans="1:15" x14ac:dyDescent="0.3">
      <c r="A616" s="10">
        <v>615</v>
      </c>
      <c r="B616" s="18">
        <v>45541</v>
      </c>
      <c r="C616" s="6" t="s">
        <v>634</v>
      </c>
      <c r="D616" s="6" t="s">
        <v>3</v>
      </c>
      <c r="E616" s="6" t="s">
        <v>14</v>
      </c>
      <c r="F616" s="6">
        <v>34</v>
      </c>
      <c r="G616" s="6" t="s">
        <v>17</v>
      </c>
      <c r="H616" s="6">
        <v>3</v>
      </c>
      <c r="I616" s="6">
        <v>103</v>
      </c>
      <c r="J616" s="11">
        <v>309</v>
      </c>
      <c r="M616" s="6" t="str" cm="1">
        <f t="array" ref="M616">_xlfn.IFS(J616&lt;=500,"Low",J616&gt;=1500,"Mid",J616&lt;=1500,"High",TRUE,"no")</f>
        <v>Low</v>
      </c>
      <c r="N616" s="6"/>
      <c r="O616" s="6" t="str">
        <f t="shared" si="17"/>
        <v>Bob</v>
      </c>
    </row>
    <row r="617" spans="1:15" x14ac:dyDescent="0.3">
      <c r="A617" s="10">
        <v>616</v>
      </c>
      <c r="B617" s="18">
        <v>45542</v>
      </c>
      <c r="C617" s="6" t="s">
        <v>635</v>
      </c>
      <c r="D617" s="6" t="s">
        <v>1</v>
      </c>
      <c r="E617" s="6" t="s">
        <v>19</v>
      </c>
      <c r="F617" s="6">
        <v>37</v>
      </c>
      <c r="G617" s="6" t="s">
        <v>15</v>
      </c>
      <c r="H617" s="6">
        <v>4</v>
      </c>
      <c r="I617" s="6">
        <v>70</v>
      </c>
      <c r="J617" s="11">
        <v>280</v>
      </c>
      <c r="M617" s="6" t="str" cm="1">
        <f t="array" ref="M617">_xlfn.IFS(J617&lt;=500,"Low",J617&gt;=1500,"Mid",J617&lt;=1500,"High",TRUE,"no")</f>
        <v>Low</v>
      </c>
      <c r="N617" s="6"/>
      <c r="O617" s="6" t="str">
        <f t="shared" si="17"/>
        <v>Charlie</v>
      </c>
    </row>
    <row r="618" spans="1:15" x14ac:dyDescent="0.3">
      <c r="A618" s="10">
        <v>617</v>
      </c>
      <c r="B618" s="18">
        <v>45543</v>
      </c>
      <c r="C618" s="6" t="s">
        <v>636</v>
      </c>
      <c r="D618" s="6" t="s">
        <v>3</v>
      </c>
      <c r="E618" s="6" t="s">
        <v>14</v>
      </c>
      <c r="F618" s="6">
        <v>51</v>
      </c>
      <c r="G618" s="6" t="s">
        <v>27</v>
      </c>
      <c r="H618" s="6">
        <v>2</v>
      </c>
      <c r="I618" s="6">
        <v>496</v>
      </c>
      <c r="J618" s="11">
        <v>992</v>
      </c>
      <c r="M618" s="6" t="str" cm="1">
        <f t="array" ref="M618">_xlfn.IFS(J618&lt;=500,"Low",J618&gt;=1500,"Mid",J618&lt;=1500,"High",TRUE,"no")</f>
        <v>High</v>
      </c>
      <c r="N618" s="6"/>
      <c r="O618" s="6" t="str">
        <f t="shared" si="17"/>
        <v>Bob</v>
      </c>
    </row>
    <row r="619" spans="1:15" x14ac:dyDescent="0.3">
      <c r="A619" s="10">
        <v>618</v>
      </c>
      <c r="B619" s="18">
        <v>45544</v>
      </c>
      <c r="C619" s="6" t="s">
        <v>637</v>
      </c>
      <c r="D619" s="6" t="s">
        <v>4</v>
      </c>
      <c r="E619" s="6" t="s">
        <v>19</v>
      </c>
      <c r="F619" s="6">
        <v>60</v>
      </c>
      <c r="G619" s="6" t="s">
        <v>20</v>
      </c>
      <c r="H619" s="6">
        <v>3</v>
      </c>
      <c r="I619" s="6">
        <v>463</v>
      </c>
      <c r="J619" s="11">
        <v>1389</v>
      </c>
      <c r="M619" s="6" t="str" cm="1">
        <f t="array" ref="M619">_xlfn.IFS(J619&lt;=500,"Low",J619&gt;=1500,"Mid",J619&lt;=1500,"High",TRUE,"no")</f>
        <v>High</v>
      </c>
      <c r="N619" s="6"/>
      <c r="O619" s="6" t="str">
        <f t="shared" si="17"/>
        <v>Alice</v>
      </c>
    </row>
    <row r="620" spans="1:15" x14ac:dyDescent="0.3">
      <c r="A620" s="10">
        <v>619</v>
      </c>
      <c r="B620" s="18">
        <v>45545</v>
      </c>
      <c r="C620" s="6" t="s">
        <v>638</v>
      </c>
      <c r="D620" s="6" t="s">
        <v>4</v>
      </c>
      <c r="E620" s="6" t="s">
        <v>14</v>
      </c>
      <c r="F620" s="6">
        <v>19</v>
      </c>
      <c r="G620" s="6" t="s">
        <v>20</v>
      </c>
      <c r="H620" s="6">
        <v>1</v>
      </c>
      <c r="I620" s="6">
        <v>425</v>
      </c>
      <c r="J620" s="11">
        <v>425</v>
      </c>
      <c r="M620" s="6" t="str" cm="1">
        <f t="array" ref="M620">_xlfn.IFS(J620&lt;=500,"Low",J620&gt;=1500,"Mid",J620&lt;=1500,"High",TRUE,"no")</f>
        <v>Low</v>
      </c>
      <c r="N620" s="6"/>
      <c r="O620" s="6" t="str">
        <f t="shared" si="17"/>
        <v>Alice</v>
      </c>
    </row>
    <row r="621" spans="1:15" x14ac:dyDescent="0.3">
      <c r="A621" s="10">
        <v>620</v>
      </c>
      <c r="B621" s="18">
        <v>45546</v>
      </c>
      <c r="C621" s="6" t="s">
        <v>639</v>
      </c>
      <c r="D621" s="6" t="s">
        <v>1</v>
      </c>
      <c r="E621" s="6" t="s">
        <v>19</v>
      </c>
      <c r="F621" s="6">
        <v>54</v>
      </c>
      <c r="G621" s="6" t="s">
        <v>17</v>
      </c>
      <c r="H621" s="6">
        <v>5</v>
      </c>
      <c r="I621" s="6">
        <v>250</v>
      </c>
      <c r="J621" s="11">
        <v>1250</v>
      </c>
      <c r="M621" s="6" t="str" cm="1">
        <f t="array" ref="M621">_xlfn.IFS(J621&lt;=500,"Low",J621&gt;=1500,"Mid",J621&lt;=1500,"High",TRUE,"no")</f>
        <v>High</v>
      </c>
      <c r="N621" s="6"/>
      <c r="O621" s="6" t="str">
        <f t="shared" si="17"/>
        <v>Charlie</v>
      </c>
    </row>
    <row r="622" spans="1:15" x14ac:dyDescent="0.3">
      <c r="A622" s="10">
        <v>621</v>
      </c>
      <c r="B622" s="18">
        <v>45547</v>
      </c>
      <c r="C622" s="6" t="s">
        <v>640</v>
      </c>
      <c r="D622" s="6" t="s">
        <v>3</v>
      </c>
      <c r="E622" s="6" t="s">
        <v>19</v>
      </c>
      <c r="F622" s="6">
        <v>21</v>
      </c>
      <c r="G622" s="6" t="s">
        <v>15</v>
      </c>
      <c r="H622" s="6">
        <v>3</v>
      </c>
      <c r="I622" s="6">
        <v>215</v>
      </c>
      <c r="J622" s="11">
        <v>645</v>
      </c>
      <c r="M622" s="6" t="str" cm="1">
        <f t="array" ref="M622">_xlfn.IFS(J622&lt;=500,"Low",J622&gt;=1500,"Mid",J622&lt;=1500,"High",TRUE,"no")</f>
        <v>High</v>
      </c>
      <c r="N622" s="6"/>
      <c r="O622" s="6" t="str">
        <f t="shared" si="17"/>
        <v>Bob</v>
      </c>
    </row>
    <row r="623" spans="1:15" x14ac:dyDescent="0.3">
      <c r="A623" s="10">
        <v>622</v>
      </c>
      <c r="B623" s="18">
        <v>45548</v>
      </c>
      <c r="C623" s="6" t="s">
        <v>641</v>
      </c>
      <c r="D623" s="6" t="s">
        <v>1</v>
      </c>
      <c r="E623" s="6" t="s">
        <v>19</v>
      </c>
      <c r="F623" s="6">
        <v>34</v>
      </c>
      <c r="G623" s="6" t="s">
        <v>17</v>
      </c>
      <c r="H623" s="6">
        <v>1</v>
      </c>
      <c r="I623" s="6">
        <v>423</v>
      </c>
      <c r="J623" s="11">
        <v>423</v>
      </c>
      <c r="M623" s="6" t="str" cm="1">
        <f t="array" ref="M623">_xlfn.IFS(J623&lt;=500,"Low",J623&gt;=1500,"Mid",J623&lt;=1500,"High",TRUE,"no")</f>
        <v>Low</v>
      </c>
      <c r="N623" s="6"/>
      <c r="O623" s="6" t="str">
        <f t="shared" si="17"/>
        <v>Charlie</v>
      </c>
    </row>
    <row r="624" spans="1:15" x14ac:dyDescent="0.3">
      <c r="A624" s="10">
        <v>623</v>
      </c>
      <c r="B624" s="18">
        <v>45549</v>
      </c>
      <c r="C624" s="6" t="s">
        <v>642</v>
      </c>
      <c r="D624" s="6" t="s">
        <v>4</v>
      </c>
      <c r="E624" s="6" t="s">
        <v>14</v>
      </c>
      <c r="F624" s="6">
        <v>49</v>
      </c>
      <c r="G624" s="6" t="s">
        <v>15</v>
      </c>
      <c r="H624" s="6">
        <v>2</v>
      </c>
      <c r="I624" s="6">
        <v>114</v>
      </c>
      <c r="J624" s="11">
        <v>228</v>
      </c>
      <c r="M624" s="6" t="str" cm="1">
        <f t="array" ref="M624">_xlfn.IFS(J624&lt;=500,"Low",J624&gt;=1500,"Mid",J624&lt;=1500,"High",TRUE,"no")</f>
        <v>Low</v>
      </c>
      <c r="N624" s="6"/>
      <c r="O624" s="6" t="str">
        <f t="shared" si="17"/>
        <v>Alice</v>
      </c>
    </row>
    <row r="625" spans="1:15" x14ac:dyDescent="0.3">
      <c r="A625" s="10">
        <v>624</v>
      </c>
      <c r="B625" s="18">
        <v>45550</v>
      </c>
      <c r="C625" s="6" t="s">
        <v>643</v>
      </c>
      <c r="D625" s="6" t="s">
        <v>2</v>
      </c>
      <c r="E625" s="6" t="s">
        <v>14</v>
      </c>
      <c r="F625" s="6">
        <v>44</v>
      </c>
      <c r="G625" s="6" t="s">
        <v>15</v>
      </c>
      <c r="H625" s="6">
        <v>1</v>
      </c>
      <c r="I625" s="6">
        <v>148</v>
      </c>
      <c r="J625" s="11">
        <v>148</v>
      </c>
      <c r="M625" s="6" t="str" cm="1">
        <f t="array" ref="M625">_xlfn.IFS(J625&lt;=500,"Low",J625&gt;=1500,"Mid",J625&lt;=1500,"High",TRUE,"no")</f>
        <v>Low</v>
      </c>
      <c r="N625" s="6"/>
      <c r="O625" s="6" t="str">
        <f t="shared" si="17"/>
        <v>Diana</v>
      </c>
    </row>
    <row r="626" spans="1:15" x14ac:dyDescent="0.3">
      <c r="A626" s="10">
        <v>625</v>
      </c>
      <c r="B626" s="18">
        <v>45551</v>
      </c>
      <c r="C626" s="6" t="s">
        <v>644</v>
      </c>
      <c r="D626" s="6" t="s">
        <v>1</v>
      </c>
      <c r="E626" s="6" t="s">
        <v>19</v>
      </c>
      <c r="F626" s="6">
        <v>35</v>
      </c>
      <c r="G626" s="6" t="s">
        <v>20</v>
      </c>
      <c r="H626" s="6">
        <v>3</v>
      </c>
      <c r="I626" s="6">
        <v>255</v>
      </c>
      <c r="J626" s="11">
        <v>765</v>
      </c>
      <c r="M626" s="6" t="str" cm="1">
        <f t="array" ref="M626">_xlfn.IFS(J626&lt;=500,"Low",J626&gt;=1500,"Mid",J626&lt;=1500,"High",TRUE,"no")</f>
        <v>High</v>
      </c>
      <c r="N626" s="6"/>
      <c r="O626" s="6" t="str">
        <f t="shared" si="17"/>
        <v>Charlie</v>
      </c>
    </row>
    <row r="627" spans="1:15" x14ac:dyDescent="0.3">
      <c r="A627" s="10">
        <v>626</v>
      </c>
      <c r="B627" s="18">
        <v>45552</v>
      </c>
      <c r="C627" s="6" t="s">
        <v>645</v>
      </c>
      <c r="D627" s="6" t="s">
        <v>2</v>
      </c>
      <c r="E627" s="6" t="s">
        <v>14</v>
      </c>
      <c r="F627" s="6">
        <v>45</v>
      </c>
      <c r="G627" s="6" t="s">
        <v>17</v>
      </c>
      <c r="H627" s="6">
        <v>2</v>
      </c>
      <c r="I627" s="6">
        <v>214</v>
      </c>
      <c r="J627" s="11">
        <v>428</v>
      </c>
      <c r="M627" s="6" t="str" cm="1">
        <f t="array" ref="M627">_xlfn.IFS(J627&lt;=500,"Low",J627&gt;=1500,"Mid",J627&lt;=1500,"High",TRUE,"no")</f>
        <v>Low</v>
      </c>
      <c r="N627" s="6"/>
      <c r="O627" s="6" t="str">
        <f t="shared" si="17"/>
        <v>Diana</v>
      </c>
    </row>
    <row r="628" spans="1:15" x14ac:dyDescent="0.3">
      <c r="A628" s="10">
        <v>627</v>
      </c>
      <c r="B628" s="18">
        <v>45553</v>
      </c>
      <c r="C628" s="6" t="s">
        <v>646</v>
      </c>
      <c r="D628" s="6" t="s">
        <v>2</v>
      </c>
      <c r="E628" s="6" t="s">
        <v>19</v>
      </c>
      <c r="F628" s="6">
        <v>34</v>
      </c>
      <c r="G628" s="6" t="s">
        <v>27</v>
      </c>
      <c r="H628" s="6">
        <v>3</v>
      </c>
      <c r="I628" s="6">
        <v>446</v>
      </c>
      <c r="J628" s="11">
        <v>1338</v>
      </c>
      <c r="M628" s="6" t="str" cm="1">
        <f t="array" ref="M628">_xlfn.IFS(J628&lt;=500,"Low",J628&gt;=1500,"Mid",J628&lt;=1500,"High",TRUE,"no")</f>
        <v>High</v>
      </c>
      <c r="N628" s="6"/>
      <c r="O628" s="6" t="str">
        <f t="shared" si="17"/>
        <v>Diana</v>
      </c>
    </row>
    <row r="629" spans="1:15" x14ac:dyDescent="0.3">
      <c r="A629" s="10">
        <v>628</v>
      </c>
      <c r="B629" s="18">
        <v>45554</v>
      </c>
      <c r="C629" s="6" t="s">
        <v>647</v>
      </c>
      <c r="D629" s="6" t="s">
        <v>3</v>
      </c>
      <c r="E629" s="6" t="s">
        <v>14</v>
      </c>
      <c r="F629" s="6">
        <v>31</v>
      </c>
      <c r="G629" s="6" t="s">
        <v>27</v>
      </c>
      <c r="H629" s="6">
        <v>1</v>
      </c>
      <c r="I629" s="6">
        <v>388</v>
      </c>
      <c r="J629" s="11">
        <v>388</v>
      </c>
      <c r="M629" s="6" t="str" cm="1">
        <f t="array" ref="M629">_xlfn.IFS(J629&lt;=500,"Low",J629&gt;=1500,"Mid",J629&lt;=1500,"High",TRUE,"no")</f>
        <v>Low</v>
      </c>
      <c r="N629" s="6"/>
      <c r="O629" s="6" t="str">
        <f t="shared" si="17"/>
        <v>Bob</v>
      </c>
    </row>
    <row r="630" spans="1:15" x14ac:dyDescent="0.3">
      <c r="A630" s="10">
        <v>629</v>
      </c>
      <c r="B630" s="18">
        <v>45555</v>
      </c>
      <c r="C630" s="6" t="s">
        <v>648</v>
      </c>
      <c r="D630" s="6" t="s">
        <v>1</v>
      </c>
      <c r="E630" s="6" t="s">
        <v>19</v>
      </c>
      <c r="F630" s="6">
        <v>22</v>
      </c>
      <c r="G630" s="6" t="s">
        <v>15</v>
      </c>
      <c r="H630" s="6">
        <v>5</v>
      </c>
      <c r="I630" s="6">
        <v>328</v>
      </c>
      <c r="J630" s="11">
        <v>1640</v>
      </c>
      <c r="M630" s="6" t="str" cm="1">
        <f t="array" ref="M630">_xlfn.IFS(J630&lt;=500,"Low",J630&gt;=1500,"Mid",J630&lt;=1500,"High",TRUE,"no")</f>
        <v>Mid</v>
      </c>
      <c r="N630" s="6"/>
      <c r="O630" s="6" t="str">
        <f t="shared" si="17"/>
        <v>Charlie</v>
      </c>
    </row>
    <row r="631" spans="1:15" x14ac:dyDescent="0.3">
      <c r="A631" s="10">
        <v>630</v>
      </c>
      <c r="B631" s="18">
        <v>45556</v>
      </c>
      <c r="C631" s="6" t="s">
        <v>649</v>
      </c>
      <c r="D631" s="6" t="s">
        <v>2</v>
      </c>
      <c r="E631" s="6" t="s">
        <v>14</v>
      </c>
      <c r="F631" s="6">
        <v>22</v>
      </c>
      <c r="G631" s="6" t="s">
        <v>15</v>
      </c>
      <c r="H631" s="6">
        <v>3</v>
      </c>
      <c r="I631" s="6">
        <v>41</v>
      </c>
      <c r="J631" s="11">
        <v>123</v>
      </c>
      <c r="M631" s="6" t="str" cm="1">
        <f t="array" ref="M631">_xlfn.IFS(J631&lt;=500,"Low",J631&gt;=1500,"Mid",J631&lt;=1500,"High",TRUE,"no")</f>
        <v>Low</v>
      </c>
      <c r="N631" s="6"/>
      <c r="O631" s="6" t="str">
        <f t="shared" si="17"/>
        <v>Diana</v>
      </c>
    </row>
    <row r="632" spans="1:15" x14ac:dyDescent="0.3">
      <c r="A632" s="10">
        <v>631</v>
      </c>
      <c r="B632" s="18">
        <v>45557</v>
      </c>
      <c r="C632" s="6" t="s">
        <v>650</v>
      </c>
      <c r="D632" s="6" t="s">
        <v>2</v>
      </c>
      <c r="E632" s="6" t="s">
        <v>19</v>
      </c>
      <c r="F632" s="6">
        <v>23</v>
      </c>
      <c r="G632" s="6" t="s">
        <v>15</v>
      </c>
      <c r="H632" s="6">
        <v>4</v>
      </c>
      <c r="I632" s="6">
        <v>340</v>
      </c>
      <c r="J632" s="11">
        <v>1360</v>
      </c>
      <c r="M632" s="6" t="str" cm="1">
        <f t="array" ref="M632">_xlfn.IFS(J632&lt;=500,"Low",J632&gt;=1500,"Mid",J632&lt;=1500,"High",TRUE,"no")</f>
        <v>High</v>
      </c>
      <c r="N632" s="6"/>
      <c r="O632" s="6" t="str">
        <f t="shared" si="17"/>
        <v>Diana</v>
      </c>
    </row>
    <row r="633" spans="1:15" x14ac:dyDescent="0.3">
      <c r="A633" s="10">
        <v>632</v>
      </c>
      <c r="B633" s="18">
        <v>45558</v>
      </c>
      <c r="C633" s="6" t="s">
        <v>651</v>
      </c>
      <c r="D633" s="6" t="s">
        <v>3</v>
      </c>
      <c r="E633" s="6" t="s">
        <v>19</v>
      </c>
      <c r="F633" s="6">
        <v>25</v>
      </c>
      <c r="G633" s="6" t="s">
        <v>20</v>
      </c>
      <c r="H633" s="6">
        <v>2</v>
      </c>
      <c r="I633" s="6">
        <v>99</v>
      </c>
      <c r="J633" s="11">
        <v>198</v>
      </c>
      <c r="M633" s="6" t="str" cm="1">
        <f t="array" ref="M633">_xlfn.IFS(J633&lt;=500,"Low",J633&gt;=1500,"Mid",J633&lt;=1500,"High",TRUE,"no")</f>
        <v>Low</v>
      </c>
      <c r="N633" s="6"/>
      <c r="O633" s="6" t="str">
        <f t="shared" si="17"/>
        <v>Bob</v>
      </c>
    </row>
    <row r="634" spans="1:15" x14ac:dyDescent="0.3">
      <c r="A634" s="10">
        <v>633</v>
      </c>
      <c r="B634" s="18">
        <v>45559</v>
      </c>
      <c r="C634" s="6" t="s">
        <v>652</v>
      </c>
      <c r="D634" s="6" t="s">
        <v>3</v>
      </c>
      <c r="E634" s="6" t="s">
        <v>14</v>
      </c>
      <c r="F634" s="6">
        <v>42</v>
      </c>
      <c r="G634" s="6" t="s">
        <v>27</v>
      </c>
      <c r="H634" s="6">
        <v>5</v>
      </c>
      <c r="I634" s="6">
        <v>170</v>
      </c>
      <c r="J634" s="11">
        <v>850</v>
      </c>
      <c r="M634" s="6" t="str" cm="1">
        <f t="array" ref="M634">_xlfn.IFS(J634&lt;=500,"Low",J634&gt;=1500,"Mid",J634&lt;=1500,"High",TRUE,"no")</f>
        <v>High</v>
      </c>
      <c r="N634" s="6"/>
      <c r="O634" s="6" t="str">
        <f t="shared" si="17"/>
        <v>Bob</v>
      </c>
    </row>
    <row r="635" spans="1:15" x14ac:dyDescent="0.3">
      <c r="A635" s="10">
        <v>634</v>
      </c>
      <c r="B635" s="18">
        <v>45560</v>
      </c>
      <c r="C635" s="6" t="s">
        <v>653</v>
      </c>
      <c r="D635" s="6" t="s">
        <v>4</v>
      </c>
      <c r="E635" s="6" t="s">
        <v>19</v>
      </c>
      <c r="F635" s="6">
        <v>49</v>
      </c>
      <c r="G635" s="6" t="s">
        <v>27</v>
      </c>
      <c r="H635" s="6">
        <v>3</v>
      </c>
      <c r="I635" s="6">
        <v>348</v>
      </c>
      <c r="J635" s="11">
        <v>1044</v>
      </c>
      <c r="M635" s="6" t="str" cm="1">
        <f t="array" ref="M635">_xlfn.IFS(J635&lt;=500,"Low",J635&gt;=1500,"Mid",J635&lt;=1500,"High",TRUE,"no")</f>
        <v>High</v>
      </c>
      <c r="N635" s="6"/>
      <c r="O635" s="6" t="str">
        <f t="shared" si="17"/>
        <v>Alice</v>
      </c>
    </row>
    <row r="636" spans="1:15" x14ac:dyDescent="0.3">
      <c r="A636" s="10">
        <v>635</v>
      </c>
      <c r="B636" s="18">
        <v>45561</v>
      </c>
      <c r="C636" s="6" t="s">
        <v>654</v>
      </c>
      <c r="D636" s="6" t="s">
        <v>2</v>
      </c>
      <c r="E636" s="6" t="s">
        <v>14</v>
      </c>
      <c r="F636" s="6">
        <v>43</v>
      </c>
      <c r="G636" s="6" t="s">
        <v>27</v>
      </c>
      <c r="H636" s="6">
        <v>5</v>
      </c>
      <c r="I636" s="6">
        <v>224</v>
      </c>
      <c r="J636" s="11">
        <v>1120</v>
      </c>
      <c r="M636" s="6" t="str" cm="1">
        <f t="array" ref="M636">_xlfn.IFS(J636&lt;=500,"Low",J636&gt;=1500,"Mid",J636&lt;=1500,"High",TRUE,"no")</f>
        <v>High</v>
      </c>
      <c r="N636" s="6"/>
      <c r="O636" s="6" t="str">
        <f t="shared" si="17"/>
        <v>Diana</v>
      </c>
    </row>
    <row r="637" spans="1:15" x14ac:dyDescent="0.3">
      <c r="A637" s="10">
        <v>636</v>
      </c>
      <c r="B637" s="18">
        <v>45562</v>
      </c>
      <c r="C637" s="6" t="s">
        <v>655</v>
      </c>
      <c r="D637" s="6" t="s">
        <v>4</v>
      </c>
      <c r="E637" s="6" t="s">
        <v>14</v>
      </c>
      <c r="F637" s="6">
        <v>26</v>
      </c>
      <c r="G637" s="6" t="s">
        <v>20</v>
      </c>
      <c r="H637" s="6">
        <v>1</v>
      </c>
      <c r="I637" s="6">
        <v>28</v>
      </c>
      <c r="J637" s="11">
        <v>28</v>
      </c>
      <c r="M637" s="6" t="str" cm="1">
        <f t="array" ref="M637">_xlfn.IFS(J637&lt;=500,"Low",J637&gt;=1500,"Mid",J637&lt;=1500,"High",TRUE,"no")</f>
        <v>Low</v>
      </c>
      <c r="N637" s="6"/>
      <c r="O637" s="6" t="str">
        <f t="shared" si="17"/>
        <v>Alice</v>
      </c>
    </row>
    <row r="638" spans="1:15" x14ac:dyDescent="0.3">
      <c r="A638" s="10">
        <v>637</v>
      </c>
      <c r="B638" s="18">
        <v>45563</v>
      </c>
      <c r="C638" s="6" t="s">
        <v>656</v>
      </c>
      <c r="D638" s="6" t="s">
        <v>2</v>
      </c>
      <c r="E638" s="6" t="s">
        <v>14</v>
      </c>
      <c r="F638" s="6">
        <v>43</v>
      </c>
      <c r="G638" s="6" t="s">
        <v>15</v>
      </c>
      <c r="H638" s="6">
        <v>4</v>
      </c>
      <c r="I638" s="6">
        <v>317</v>
      </c>
      <c r="J638" s="11">
        <v>1268</v>
      </c>
      <c r="M638" s="6" t="str" cm="1">
        <f t="array" ref="M638">_xlfn.IFS(J638&lt;=500,"Low",J638&gt;=1500,"Mid",J638&lt;=1500,"High",TRUE,"no")</f>
        <v>High</v>
      </c>
      <c r="N638" s="6"/>
      <c r="O638" s="6" t="str">
        <f t="shared" si="17"/>
        <v>Diana</v>
      </c>
    </row>
    <row r="639" spans="1:15" x14ac:dyDescent="0.3">
      <c r="A639" s="10">
        <v>638</v>
      </c>
      <c r="B639" s="18">
        <v>45564</v>
      </c>
      <c r="C639" s="6" t="s">
        <v>657</v>
      </c>
      <c r="D639" s="6" t="s">
        <v>4</v>
      </c>
      <c r="E639" s="6" t="s">
        <v>19</v>
      </c>
      <c r="F639" s="6">
        <v>55</v>
      </c>
      <c r="G639" s="6" t="s">
        <v>15</v>
      </c>
      <c r="H639" s="6">
        <v>4</v>
      </c>
      <c r="I639" s="6">
        <v>238</v>
      </c>
      <c r="J639" s="11">
        <v>952</v>
      </c>
      <c r="M639" s="6" t="str" cm="1">
        <f t="array" ref="M639">_xlfn.IFS(J639&lt;=500,"Low",J639&gt;=1500,"Mid",J639&lt;=1500,"High",TRUE,"no")</f>
        <v>High</v>
      </c>
      <c r="N639" s="6"/>
      <c r="O639" s="6" t="str">
        <f t="shared" si="17"/>
        <v>Alice</v>
      </c>
    </row>
    <row r="640" spans="1:15" x14ac:dyDescent="0.3">
      <c r="A640" s="10">
        <v>639</v>
      </c>
      <c r="B640" s="18">
        <v>45565</v>
      </c>
      <c r="C640" s="6" t="s">
        <v>658</v>
      </c>
      <c r="D640" s="6" t="s">
        <v>3</v>
      </c>
      <c r="E640" s="6" t="s">
        <v>14</v>
      </c>
      <c r="F640" s="6">
        <v>37</v>
      </c>
      <c r="G640" s="6" t="s">
        <v>15</v>
      </c>
      <c r="H640" s="6">
        <v>2</v>
      </c>
      <c r="I640" s="6">
        <v>50</v>
      </c>
      <c r="J640" s="11">
        <v>100</v>
      </c>
      <c r="M640" s="6" t="str" cm="1">
        <f t="array" ref="M640">_xlfn.IFS(J640&lt;=500,"Low",J640&gt;=1500,"Mid",J640&lt;=1500,"High",TRUE,"no")</f>
        <v>Low</v>
      </c>
      <c r="N640" s="6"/>
      <c r="O640" s="6" t="str">
        <f t="shared" si="17"/>
        <v>Bob</v>
      </c>
    </row>
    <row r="641" spans="1:15" x14ac:dyDescent="0.3">
      <c r="A641" s="10">
        <v>640</v>
      </c>
      <c r="B641" s="18">
        <v>45566</v>
      </c>
      <c r="C641" s="6" t="s">
        <v>659</v>
      </c>
      <c r="D641" s="6" t="s">
        <v>1</v>
      </c>
      <c r="E641" s="6" t="s">
        <v>14</v>
      </c>
      <c r="F641" s="6">
        <v>40</v>
      </c>
      <c r="G641" s="6" t="s">
        <v>20</v>
      </c>
      <c r="H641" s="6">
        <v>5</v>
      </c>
      <c r="I641" s="6">
        <v>140</v>
      </c>
      <c r="J641" s="11">
        <v>700</v>
      </c>
      <c r="M641" s="6" t="str" cm="1">
        <f t="array" ref="M641">_xlfn.IFS(J641&lt;=500,"Low",J641&gt;=1500,"Mid",J641&lt;=1500,"High",TRUE,"no")</f>
        <v>High</v>
      </c>
      <c r="N641" s="6"/>
      <c r="O641" s="6" t="str">
        <f t="shared" si="17"/>
        <v>Charlie</v>
      </c>
    </row>
    <row r="642" spans="1:15" x14ac:dyDescent="0.3">
      <c r="A642" s="10">
        <v>641</v>
      </c>
      <c r="B642" s="18">
        <v>45567</v>
      </c>
      <c r="C642" s="6" t="s">
        <v>660</v>
      </c>
      <c r="D642" s="6" t="s">
        <v>3</v>
      </c>
      <c r="E642" s="6" t="s">
        <v>19</v>
      </c>
      <c r="F642" s="6">
        <v>57</v>
      </c>
      <c r="G642" s="6" t="s">
        <v>17</v>
      </c>
      <c r="H642" s="6">
        <v>3</v>
      </c>
      <c r="I642" s="6">
        <v>64</v>
      </c>
      <c r="J642" s="11">
        <v>192</v>
      </c>
      <c r="M642" s="6" t="str" cm="1">
        <f t="array" ref="M642">_xlfn.IFS(J642&lt;=500,"Low",J642&gt;=1500,"Mid",J642&lt;=1500,"High",TRUE,"no")</f>
        <v>Low</v>
      </c>
      <c r="N642" s="6"/>
      <c r="O642" s="6" t="str">
        <f t="shared" si="17"/>
        <v>Bob</v>
      </c>
    </row>
    <row r="643" spans="1:15" x14ac:dyDescent="0.3">
      <c r="A643" s="10">
        <v>642</v>
      </c>
      <c r="B643" s="18">
        <v>45568</v>
      </c>
      <c r="C643" s="6" t="s">
        <v>661</v>
      </c>
      <c r="D643" s="6" t="s">
        <v>4</v>
      </c>
      <c r="E643" s="6" t="s">
        <v>14</v>
      </c>
      <c r="F643" s="6">
        <v>58</v>
      </c>
      <c r="G643" s="6" t="s">
        <v>17</v>
      </c>
      <c r="H643" s="6">
        <v>2</v>
      </c>
      <c r="I643" s="6">
        <v>397</v>
      </c>
      <c r="J643" s="11">
        <v>794</v>
      </c>
      <c r="M643" s="6" t="str" cm="1">
        <f t="array" ref="M643">_xlfn.IFS(J643&lt;=500,"Low",J643&gt;=1500,"Mid",J643&lt;=1500,"High",TRUE,"no")</f>
        <v>High</v>
      </c>
      <c r="N643" s="6"/>
      <c r="O643" s="6" t="str">
        <f t="shared" ref="O643:O706" si="18">INDEX(D643:D1642,MATCH($D$2,$D$2:$D$1001,0))</f>
        <v>Alice</v>
      </c>
    </row>
    <row r="644" spans="1:15" x14ac:dyDescent="0.3">
      <c r="A644" s="10">
        <v>643</v>
      </c>
      <c r="B644" s="18">
        <v>45569</v>
      </c>
      <c r="C644" s="6" t="s">
        <v>662</v>
      </c>
      <c r="D644" s="6" t="s">
        <v>4</v>
      </c>
      <c r="E644" s="6" t="s">
        <v>14</v>
      </c>
      <c r="F644" s="6">
        <v>23</v>
      </c>
      <c r="G644" s="6" t="s">
        <v>23</v>
      </c>
      <c r="H644" s="6">
        <v>2</v>
      </c>
      <c r="I644" s="6">
        <v>476</v>
      </c>
      <c r="J644" s="11">
        <v>952</v>
      </c>
      <c r="M644" s="6" t="str" cm="1">
        <f t="array" ref="M644">_xlfn.IFS(J644&lt;=500,"Low",J644&gt;=1500,"Mid",J644&lt;=1500,"High",TRUE,"no")</f>
        <v>High</v>
      </c>
      <c r="N644" s="6"/>
      <c r="O644" s="6" t="str">
        <f t="shared" si="18"/>
        <v>Alice</v>
      </c>
    </row>
    <row r="645" spans="1:15" x14ac:dyDescent="0.3">
      <c r="A645" s="10">
        <v>644</v>
      </c>
      <c r="B645" s="18">
        <v>45570</v>
      </c>
      <c r="C645" s="6" t="s">
        <v>663</v>
      </c>
      <c r="D645" s="6" t="s">
        <v>1</v>
      </c>
      <c r="E645" s="6" t="s">
        <v>19</v>
      </c>
      <c r="F645" s="6">
        <v>49</v>
      </c>
      <c r="G645" s="6" t="s">
        <v>17</v>
      </c>
      <c r="H645" s="6">
        <v>1</v>
      </c>
      <c r="I645" s="6">
        <v>108</v>
      </c>
      <c r="J645" s="11">
        <v>108</v>
      </c>
      <c r="M645" s="6" t="str" cm="1">
        <f t="array" ref="M645">_xlfn.IFS(J645&lt;=500,"Low",J645&gt;=1500,"Mid",J645&lt;=1500,"High",TRUE,"no")</f>
        <v>Low</v>
      </c>
      <c r="N645" s="6"/>
      <c r="O645" s="6" t="str">
        <f t="shared" si="18"/>
        <v>Charlie</v>
      </c>
    </row>
    <row r="646" spans="1:15" x14ac:dyDescent="0.3">
      <c r="A646" s="10">
        <v>645</v>
      </c>
      <c r="B646" s="18">
        <v>45571</v>
      </c>
      <c r="C646" s="6" t="s">
        <v>664</v>
      </c>
      <c r="D646" s="6" t="s">
        <v>2</v>
      </c>
      <c r="E646" s="6" t="s">
        <v>19</v>
      </c>
      <c r="F646" s="6">
        <v>49</v>
      </c>
      <c r="G646" s="6" t="s">
        <v>17</v>
      </c>
      <c r="H646" s="6">
        <v>4</v>
      </c>
      <c r="I646" s="6">
        <v>121</v>
      </c>
      <c r="J646" s="11">
        <v>484</v>
      </c>
      <c r="M646" s="6" t="str" cm="1">
        <f t="array" ref="M646">_xlfn.IFS(J646&lt;=500,"Low",J646&gt;=1500,"Mid",J646&lt;=1500,"High",TRUE,"no")</f>
        <v>Low</v>
      </c>
      <c r="N646" s="6"/>
      <c r="O646" s="6" t="str">
        <f t="shared" si="18"/>
        <v>Diana</v>
      </c>
    </row>
    <row r="647" spans="1:15" x14ac:dyDescent="0.3">
      <c r="A647" s="10">
        <v>646</v>
      </c>
      <c r="B647" s="18">
        <v>45572</v>
      </c>
      <c r="C647" s="6" t="s">
        <v>665</v>
      </c>
      <c r="D647" s="6" t="s">
        <v>4</v>
      </c>
      <c r="E647" s="6" t="s">
        <v>19</v>
      </c>
      <c r="F647" s="6">
        <v>24</v>
      </c>
      <c r="G647" s="6" t="s">
        <v>15</v>
      </c>
      <c r="H647" s="6">
        <v>5</v>
      </c>
      <c r="I647" s="6">
        <v>379</v>
      </c>
      <c r="J647" s="11">
        <v>1895</v>
      </c>
      <c r="M647" s="6" t="str" cm="1">
        <f t="array" ref="M647">_xlfn.IFS(J647&lt;=500,"Low",J647&gt;=1500,"Mid",J647&lt;=1500,"High",TRUE,"no")</f>
        <v>Mid</v>
      </c>
      <c r="N647" s="6"/>
      <c r="O647" s="6" t="str">
        <f t="shared" si="18"/>
        <v>Alice</v>
      </c>
    </row>
    <row r="648" spans="1:15" x14ac:dyDescent="0.3">
      <c r="A648" s="10">
        <v>647</v>
      </c>
      <c r="B648" s="18">
        <v>45573</v>
      </c>
      <c r="C648" s="6" t="s">
        <v>666</v>
      </c>
      <c r="D648" s="6" t="s">
        <v>4</v>
      </c>
      <c r="E648" s="6" t="s">
        <v>14</v>
      </c>
      <c r="F648" s="6">
        <v>28</v>
      </c>
      <c r="G648" s="6" t="s">
        <v>23</v>
      </c>
      <c r="H648" s="6">
        <v>3</v>
      </c>
      <c r="I648" s="6">
        <v>295</v>
      </c>
      <c r="J648" s="11">
        <v>885</v>
      </c>
      <c r="M648" s="6" t="str" cm="1">
        <f t="array" ref="M648">_xlfn.IFS(J648&lt;=500,"Low",J648&gt;=1500,"Mid",J648&lt;=1500,"High",TRUE,"no")</f>
        <v>High</v>
      </c>
      <c r="N648" s="6"/>
      <c r="O648" s="6" t="str">
        <f t="shared" si="18"/>
        <v>Alice</v>
      </c>
    </row>
    <row r="649" spans="1:15" x14ac:dyDescent="0.3">
      <c r="A649" s="10">
        <v>648</v>
      </c>
      <c r="B649" s="18">
        <v>45574</v>
      </c>
      <c r="C649" s="6" t="s">
        <v>667</v>
      </c>
      <c r="D649" s="6" t="s">
        <v>4</v>
      </c>
      <c r="E649" s="6" t="s">
        <v>14</v>
      </c>
      <c r="F649" s="6">
        <v>26</v>
      </c>
      <c r="G649" s="6" t="s">
        <v>15</v>
      </c>
      <c r="H649" s="6">
        <v>2</v>
      </c>
      <c r="I649" s="6">
        <v>160</v>
      </c>
      <c r="J649" s="11">
        <v>320</v>
      </c>
      <c r="M649" s="6" t="str" cm="1">
        <f t="array" ref="M649">_xlfn.IFS(J649&lt;=500,"Low",J649&gt;=1500,"Mid",J649&lt;=1500,"High",TRUE,"no")</f>
        <v>Low</v>
      </c>
      <c r="N649" s="6"/>
      <c r="O649" s="6" t="str">
        <f t="shared" si="18"/>
        <v>Alice</v>
      </c>
    </row>
    <row r="650" spans="1:15" x14ac:dyDescent="0.3">
      <c r="A650" s="10">
        <v>649</v>
      </c>
      <c r="B650" s="18">
        <v>45575</v>
      </c>
      <c r="C650" s="6" t="s">
        <v>668</v>
      </c>
      <c r="D650" s="6" t="s">
        <v>1</v>
      </c>
      <c r="E650" s="6" t="s">
        <v>14</v>
      </c>
      <c r="F650" s="6">
        <v>21</v>
      </c>
      <c r="G650" s="6" t="s">
        <v>23</v>
      </c>
      <c r="H650" s="6">
        <v>1</v>
      </c>
      <c r="I650" s="6">
        <v>25</v>
      </c>
      <c r="J650" s="11">
        <v>25</v>
      </c>
      <c r="M650" s="6" t="str" cm="1">
        <f t="array" ref="M650">_xlfn.IFS(J650&lt;=500,"Low",J650&gt;=1500,"Mid",J650&lt;=1500,"High",TRUE,"no")</f>
        <v>Low</v>
      </c>
      <c r="N650" s="6"/>
      <c r="O650" s="6" t="str">
        <f t="shared" si="18"/>
        <v>Charlie</v>
      </c>
    </row>
    <row r="651" spans="1:15" x14ac:dyDescent="0.3">
      <c r="A651" s="10">
        <v>650</v>
      </c>
      <c r="B651" s="18">
        <v>45576</v>
      </c>
      <c r="C651" s="6" t="s">
        <v>669</v>
      </c>
      <c r="D651" s="6" t="s">
        <v>3</v>
      </c>
      <c r="E651" s="6" t="s">
        <v>14</v>
      </c>
      <c r="F651" s="6">
        <v>34</v>
      </c>
      <c r="G651" s="6" t="s">
        <v>27</v>
      </c>
      <c r="H651" s="6">
        <v>5</v>
      </c>
      <c r="I651" s="6">
        <v>317</v>
      </c>
      <c r="J651" s="11">
        <v>1585</v>
      </c>
      <c r="M651" s="6" t="str" cm="1">
        <f t="array" ref="M651">_xlfn.IFS(J651&lt;=500,"Low",J651&gt;=1500,"Mid",J651&lt;=1500,"High",TRUE,"no")</f>
        <v>Mid</v>
      </c>
      <c r="N651" s="6"/>
      <c r="O651" s="6" t="str">
        <f t="shared" si="18"/>
        <v>Bob</v>
      </c>
    </row>
    <row r="652" spans="1:15" x14ac:dyDescent="0.3">
      <c r="A652" s="10">
        <v>651</v>
      </c>
      <c r="B652" s="18">
        <v>45577</v>
      </c>
      <c r="C652" s="6" t="s">
        <v>670</v>
      </c>
      <c r="D652" s="6" t="s">
        <v>4</v>
      </c>
      <c r="E652" s="6" t="s">
        <v>14</v>
      </c>
      <c r="F652" s="6">
        <v>53</v>
      </c>
      <c r="G652" s="6" t="s">
        <v>15</v>
      </c>
      <c r="H652" s="6">
        <v>1</v>
      </c>
      <c r="I652" s="6">
        <v>244</v>
      </c>
      <c r="J652" s="11">
        <v>244</v>
      </c>
      <c r="M652" s="6" t="str" cm="1">
        <f t="array" ref="M652">_xlfn.IFS(J652&lt;=500,"Low",J652&gt;=1500,"Mid",J652&lt;=1500,"High",TRUE,"no")</f>
        <v>Low</v>
      </c>
      <c r="N652" s="6"/>
      <c r="O652" s="6" t="str">
        <f t="shared" si="18"/>
        <v>Alice</v>
      </c>
    </row>
    <row r="653" spans="1:15" x14ac:dyDescent="0.3">
      <c r="A653" s="10">
        <v>652</v>
      </c>
      <c r="B653" s="18">
        <v>45578</v>
      </c>
      <c r="C653" s="6" t="s">
        <v>671</v>
      </c>
      <c r="D653" s="6" t="s">
        <v>1</v>
      </c>
      <c r="E653" s="6" t="s">
        <v>14</v>
      </c>
      <c r="F653" s="6">
        <v>37</v>
      </c>
      <c r="G653" s="6" t="s">
        <v>15</v>
      </c>
      <c r="H653" s="6">
        <v>1</v>
      </c>
      <c r="I653" s="6">
        <v>435</v>
      </c>
      <c r="J653" s="11">
        <v>435</v>
      </c>
      <c r="M653" s="6" t="str" cm="1">
        <f t="array" ref="M653">_xlfn.IFS(J653&lt;=500,"Low",J653&gt;=1500,"Mid",J653&lt;=1500,"High",TRUE,"no")</f>
        <v>Low</v>
      </c>
      <c r="N653" s="6"/>
      <c r="O653" s="6" t="str">
        <f t="shared" si="18"/>
        <v>Charlie</v>
      </c>
    </row>
    <row r="654" spans="1:15" x14ac:dyDescent="0.3">
      <c r="A654" s="10">
        <v>653</v>
      </c>
      <c r="B654" s="18">
        <v>45579</v>
      </c>
      <c r="C654" s="6" t="s">
        <v>672</v>
      </c>
      <c r="D654" s="6" t="s">
        <v>4</v>
      </c>
      <c r="E654" s="6" t="s">
        <v>19</v>
      </c>
      <c r="F654" s="6">
        <v>44</v>
      </c>
      <c r="G654" s="6" t="s">
        <v>23</v>
      </c>
      <c r="H654" s="6">
        <v>2</v>
      </c>
      <c r="I654" s="6">
        <v>204</v>
      </c>
      <c r="J654" s="11">
        <v>408</v>
      </c>
      <c r="M654" s="6" t="str" cm="1">
        <f t="array" ref="M654">_xlfn.IFS(J654&lt;=500,"Low",J654&gt;=1500,"Mid",J654&lt;=1500,"High",TRUE,"no")</f>
        <v>Low</v>
      </c>
      <c r="N654" s="6"/>
      <c r="O654" s="6" t="str">
        <f t="shared" si="18"/>
        <v>Alice</v>
      </c>
    </row>
    <row r="655" spans="1:15" x14ac:dyDescent="0.3">
      <c r="A655" s="10">
        <v>654</v>
      </c>
      <c r="B655" s="18">
        <v>45580</v>
      </c>
      <c r="C655" s="6" t="s">
        <v>673</v>
      </c>
      <c r="D655" s="6" t="s">
        <v>2</v>
      </c>
      <c r="E655" s="6" t="s">
        <v>19</v>
      </c>
      <c r="F655" s="6">
        <v>35</v>
      </c>
      <c r="G655" s="6" t="s">
        <v>17</v>
      </c>
      <c r="H655" s="6">
        <v>3</v>
      </c>
      <c r="I655" s="6">
        <v>434</v>
      </c>
      <c r="J655" s="11">
        <v>1302</v>
      </c>
      <c r="M655" s="6" t="str" cm="1">
        <f t="array" ref="M655">_xlfn.IFS(J655&lt;=500,"Low",J655&gt;=1500,"Mid",J655&lt;=1500,"High",TRUE,"no")</f>
        <v>High</v>
      </c>
      <c r="N655" s="6"/>
      <c r="O655" s="6" t="str">
        <f t="shared" si="18"/>
        <v>Diana</v>
      </c>
    </row>
    <row r="656" spans="1:15" x14ac:dyDescent="0.3">
      <c r="A656" s="10">
        <v>655</v>
      </c>
      <c r="B656" s="18">
        <v>45581</v>
      </c>
      <c r="C656" s="6" t="s">
        <v>674</v>
      </c>
      <c r="D656" s="6" t="s">
        <v>1</v>
      </c>
      <c r="E656" s="6" t="s">
        <v>14</v>
      </c>
      <c r="F656" s="6">
        <v>20</v>
      </c>
      <c r="G656" s="6" t="s">
        <v>17</v>
      </c>
      <c r="H656" s="6">
        <v>1</v>
      </c>
      <c r="I656" s="6">
        <v>127</v>
      </c>
      <c r="J656" s="11">
        <v>127</v>
      </c>
      <c r="M656" s="6" t="str" cm="1">
        <f t="array" ref="M656">_xlfn.IFS(J656&lt;=500,"Low",J656&gt;=1500,"Mid",J656&lt;=1500,"High",TRUE,"no")</f>
        <v>Low</v>
      </c>
      <c r="N656" s="6"/>
      <c r="O656" s="6" t="str">
        <f t="shared" si="18"/>
        <v>Charlie</v>
      </c>
    </row>
    <row r="657" spans="1:15" x14ac:dyDescent="0.3">
      <c r="A657" s="10">
        <v>656</v>
      </c>
      <c r="B657" s="18">
        <v>45582</v>
      </c>
      <c r="C657" s="6" t="s">
        <v>675</v>
      </c>
      <c r="D657" s="6" t="s">
        <v>4</v>
      </c>
      <c r="E657" s="6" t="s">
        <v>14</v>
      </c>
      <c r="F657" s="6">
        <v>58</v>
      </c>
      <c r="G657" s="6" t="s">
        <v>20</v>
      </c>
      <c r="H657" s="6">
        <v>1</v>
      </c>
      <c r="I657" s="6">
        <v>371</v>
      </c>
      <c r="J657" s="11">
        <v>371</v>
      </c>
      <c r="M657" s="6" t="str" cm="1">
        <f t="array" ref="M657">_xlfn.IFS(J657&lt;=500,"Low",J657&gt;=1500,"Mid",J657&lt;=1500,"High",TRUE,"no")</f>
        <v>Low</v>
      </c>
      <c r="N657" s="6"/>
      <c r="O657" s="6" t="str">
        <f t="shared" si="18"/>
        <v>Alice</v>
      </c>
    </row>
    <row r="658" spans="1:15" x14ac:dyDescent="0.3">
      <c r="A658" s="10">
        <v>657</v>
      </c>
      <c r="B658" s="18">
        <v>45583</v>
      </c>
      <c r="C658" s="6" t="s">
        <v>676</v>
      </c>
      <c r="D658" s="6" t="s">
        <v>1</v>
      </c>
      <c r="E658" s="6" t="s">
        <v>19</v>
      </c>
      <c r="F658" s="6">
        <v>39</v>
      </c>
      <c r="G658" s="6" t="s">
        <v>23</v>
      </c>
      <c r="H658" s="6">
        <v>1</v>
      </c>
      <c r="I658" s="6">
        <v>360</v>
      </c>
      <c r="J658" s="11">
        <v>360</v>
      </c>
      <c r="M658" s="6" t="str" cm="1">
        <f t="array" ref="M658">_xlfn.IFS(J658&lt;=500,"Low",J658&gt;=1500,"Mid",J658&lt;=1500,"High",TRUE,"no")</f>
        <v>Low</v>
      </c>
      <c r="N658" s="6"/>
      <c r="O658" s="6" t="str">
        <f t="shared" si="18"/>
        <v>Charlie</v>
      </c>
    </row>
    <row r="659" spans="1:15" x14ac:dyDescent="0.3">
      <c r="A659" s="10">
        <v>658</v>
      </c>
      <c r="B659" s="18">
        <v>45584</v>
      </c>
      <c r="C659" s="6" t="s">
        <v>677</v>
      </c>
      <c r="D659" s="6" t="s">
        <v>4</v>
      </c>
      <c r="E659" s="6" t="s">
        <v>19</v>
      </c>
      <c r="F659" s="6">
        <v>54</v>
      </c>
      <c r="G659" s="6" t="s">
        <v>17</v>
      </c>
      <c r="H659" s="6">
        <v>1</v>
      </c>
      <c r="I659" s="6">
        <v>392</v>
      </c>
      <c r="J659" s="11">
        <v>392</v>
      </c>
      <c r="M659" s="6" t="str" cm="1">
        <f t="array" ref="M659">_xlfn.IFS(J659&lt;=500,"Low",J659&gt;=1500,"Mid",J659&lt;=1500,"High",TRUE,"no")</f>
        <v>Low</v>
      </c>
      <c r="N659" s="6"/>
      <c r="O659" s="6" t="str">
        <f t="shared" si="18"/>
        <v>Alice</v>
      </c>
    </row>
    <row r="660" spans="1:15" x14ac:dyDescent="0.3">
      <c r="A660" s="10">
        <v>659</v>
      </c>
      <c r="B660" s="18">
        <v>45585</v>
      </c>
      <c r="C660" s="6" t="s">
        <v>678</v>
      </c>
      <c r="D660" s="6" t="s">
        <v>3</v>
      </c>
      <c r="E660" s="6" t="s">
        <v>19</v>
      </c>
      <c r="F660" s="6">
        <v>30</v>
      </c>
      <c r="G660" s="6" t="s">
        <v>27</v>
      </c>
      <c r="H660" s="6">
        <v>5</v>
      </c>
      <c r="I660" s="6">
        <v>366</v>
      </c>
      <c r="J660" s="11">
        <v>1830</v>
      </c>
      <c r="M660" s="6" t="str" cm="1">
        <f t="array" ref="M660">_xlfn.IFS(J660&lt;=500,"Low",J660&gt;=1500,"Mid",J660&lt;=1500,"High",TRUE,"no")</f>
        <v>Mid</v>
      </c>
      <c r="N660" s="6"/>
      <c r="O660" s="6" t="str">
        <f t="shared" si="18"/>
        <v>Bob</v>
      </c>
    </row>
    <row r="661" spans="1:15" x14ac:dyDescent="0.3">
      <c r="A661" s="10">
        <v>660</v>
      </c>
      <c r="B661" s="18">
        <v>45586</v>
      </c>
      <c r="C661" s="6" t="s">
        <v>679</v>
      </c>
      <c r="D661" s="6" t="s">
        <v>4</v>
      </c>
      <c r="E661" s="6" t="s">
        <v>19</v>
      </c>
      <c r="F661" s="6">
        <v>51</v>
      </c>
      <c r="G661" s="6" t="s">
        <v>20</v>
      </c>
      <c r="H661" s="6">
        <v>5</v>
      </c>
      <c r="I661" s="6">
        <v>52</v>
      </c>
      <c r="J661" s="11">
        <v>260</v>
      </c>
      <c r="M661" s="6" t="str" cm="1">
        <f t="array" ref="M661">_xlfn.IFS(J661&lt;=500,"Low",J661&gt;=1500,"Mid",J661&lt;=1500,"High",TRUE,"no")</f>
        <v>Low</v>
      </c>
      <c r="N661" s="6"/>
      <c r="O661" s="6" t="str">
        <f t="shared" si="18"/>
        <v>Alice</v>
      </c>
    </row>
    <row r="662" spans="1:15" x14ac:dyDescent="0.3">
      <c r="A662" s="10">
        <v>661</v>
      </c>
      <c r="B662" s="18">
        <v>45587</v>
      </c>
      <c r="C662" s="6" t="s">
        <v>680</v>
      </c>
      <c r="D662" s="6" t="s">
        <v>1</v>
      </c>
      <c r="E662" s="6" t="s">
        <v>14</v>
      </c>
      <c r="F662" s="6">
        <v>59</v>
      </c>
      <c r="G662" s="6" t="s">
        <v>20</v>
      </c>
      <c r="H662" s="6">
        <v>4</v>
      </c>
      <c r="I662" s="6">
        <v>80</v>
      </c>
      <c r="J662" s="11">
        <v>320</v>
      </c>
      <c r="M662" s="6" t="str" cm="1">
        <f t="array" ref="M662">_xlfn.IFS(J662&lt;=500,"Low",J662&gt;=1500,"Mid",J662&lt;=1500,"High",TRUE,"no")</f>
        <v>Low</v>
      </c>
      <c r="N662" s="6"/>
      <c r="O662" s="6" t="str">
        <f t="shared" si="18"/>
        <v>Charlie</v>
      </c>
    </row>
    <row r="663" spans="1:15" x14ac:dyDescent="0.3">
      <c r="A663" s="10">
        <v>662</v>
      </c>
      <c r="B663" s="18">
        <v>45588</v>
      </c>
      <c r="C663" s="6" t="s">
        <v>681</v>
      </c>
      <c r="D663" s="6" t="s">
        <v>2</v>
      </c>
      <c r="E663" s="6" t="s">
        <v>14</v>
      </c>
      <c r="F663" s="6">
        <v>50</v>
      </c>
      <c r="G663" s="6" t="s">
        <v>17</v>
      </c>
      <c r="H663" s="6">
        <v>3</v>
      </c>
      <c r="I663" s="6">
        <v>127</v>
      </c>
      <c r="J663" s="11">
        <v>381</v>
      </c>
      <c r="M663" s="6" t="str" cm="1">
        <f t="array" ref="M663">_xlfn.IFS(J663&lt;=500,"Low",J663&gt;=1500,"Mid",J663&lt;=1500,"High",TRUE,"no")</f>
        <v>Low</v>
      </c>
      <c r="N663" s="6"/>
      <c r="O663" s="6" t="str">
        <f t="shared" si="18"/>
        <v>Diana</v>
      </c>
    </row>
    <row r="664" spans="1:15" x14ac:dyDescent="0.3">
      <c r="A664" s="10">
        <v>663</v>
      </c>
      <c r="B664" s="18">
        <v>45589</v>
      </c>
      <c r="C664" s="6" t="s">
        <v>682</v>
      </c>
      <c r="D664" s="6" t="s">
        <v>2</v>
      </c>
      <c r="E664" s="6" t="s">
        <v>14</v>
      </c>
      <c r="F664" s="6">
        <v>33</v>
      </c>
      <c r="G664" s="6" t="s">
        <v>27</v>
      </c>
      <c r="H664" s="6">
        <v>1</v>
      </c>
      <c r="I664" s="6">
        <v>312</v>
      </c>
      <c r="J664" s="11">
        <v>312</v>
      </c>
      <c r="M664" s="6" t="str" cm="1">
        <f t="array" ref="M664">_xlfn.IFS(J664&lt;=500,"Low",J664&gt;=1500,"Mid",J664&lt;=1500,"High",TRUE,"no")</f>
        <v>Low</v>
      </c>
      <c r="N664" s="6"/>
      <c r="O664" s="6" t="str">
        <f t="shared" si="18"/>
        <v>Diana</v>
      </c>
    </row>
    <row r="665" spans="1:15" x14ac:dyDescent="0.3">
      <c r="A665" s="10">
        <v>664</v>
      </c>
      <c r="B665" s="18">
        <v>45590</v>
      </c>
      <c r="C665" s="6" t="s">
        <v>683</v>
      </c>
      <c r="D665" s="6" t="s">
        <v>2</v>
      </c>
      <c r="E665" s="6" t="s">
        <v>14</v>
      </c>
      <c r="F665" s="6">
        <v>39</v>
      </c>
      <c r="G665" s="6" t="s">
        <v>17</v>
      </c>
      <c r="H665" s="6">
        <v>4</v>
      </c>
      <c r="I665" s="6">
        <v>304</v>
      </c>
      <c r="J665" s="11">
        <v>1216</v>
      </c>
      <c r="M665" s="6" t="str" cm="1">
        <f t="array" ref="M665">_xlfn.IFS(J665&lt;=500,"Low",J665&gt;=1500,"Mid",J665&lt;=1500,"High",TRUE,"no")</f>
        <v>High</v>
      </c>
      <c r="N665" s="6"/>
      <c r="O665" s="6" t="str">
        <f t="shared" si="18"/>
        <v>Diana</v>
      </c>
    </row>
    <row r="666" spans="1:15" x14ac:dyDescent="0.3">
      <c r="A666" s="10">
        <v>665</v>
      </c>
      <c r="B666" s="18">
        <v>45591</v>
      </c>
      <c r="C666" s="6" t="s">
        <v>684</v>
      </c>
      <c r="D666" s="6" t="s">
        <v>4</v>
      </c>
      <c r="E666" s="6" t="s">
        <v>19</v>
      </c>
      <c r="F666" s="6">
        <v>49</v>
      </c>
      <c r="G666" s="6" t="s">
        <v>15</v>
      </c>
      <c r="H666" s="6">
        <v>5</v>
      </c>
      <c r="I666" s="6">
        <v>417</v>
      </c>
      <c r="J666" s="11">
        <v>2085</v>
      </c>
      <c r="M666" s="6" t="str" cm="1">
        <f t="array" ref="M666">_xlfn.IFS(J666&lt;=500,"Low",J666&gt;=1500,"Mid",J666&lt;=1500,"High",TRUE,"no")</f>
        <v>Mid</v>
      </c>
      <c r="N666" s="6"/>
      <c r="O666" s="6" t="str">
        <f t="shared" si="18"/>
        <v>Alice</v>
      </c>
    </row>
    <row r="667" spans="1:15" x14ac:dyDescent="0.3">
      <c r="A667" s="10">
        <v>666</v>
      </c>
      <c r="B667" s="18">
        <v>45592</v>
      </c>
      <c r="C667" s="6" t="s">
        <v>685</v>
      </c>
      <c r="D667" s="6" t="s">
        <v>3</v>
      </c>
      <c r="E667" s="6" t="s">
        <v>19</v>
      </c>
      <c r="F667" s="6">
        <v>23</v>
      </c>
      <c r="G667" s="6" t="s">
        <v>23</v>
      </c>
      <c r="H667" s="6">
        <v>1</v>
      </c>
      <c r="I667" s="6">
        <v>119</v>
      </c>
      <c r="J667" s="11">
        <v>119</v>
      </c>
      <c r="M667" s="6" t="str" cm="1">
        <f t="array" ref="M667">_xlfn.IFS(J667&lt;=500,"Low",J667&gt;=1500,"Mid",J667&lt;=1500,"High",TRUE,"no")</f>
        <v>Low</v>
      </c>
      <c r="N667" s="6"/>
      <c r="O667" s="6" t="str">
        <f t="shared" si="18"/>
        <v>Bob</v>
      </c>
    </row>
    <row r="668" spans="1:15" x14ac:dyDescent="0.3">
      <c r="A668" s="10">
        <v>667</v>
      </c>
      <c r="B668" s="18">
        <v>45593</v>
      </c>
      <c r="C668" s="6" t="s">
        <v>686</v>
      </c>
      <c r="D668" s="6" t="s">
        <v>4</v>
      </c>
      <c r="E668" s="6" t="s">
        <v>19</v>
      </c>
      <c r="F668" s="6">
        <v>45</v>
      </c>
      <c r="G668" s="6" t="s">
        <v>15</v>
      </c>
      <c r="H668" s="6">
        <v>1</v>
      </c>
      <c r="I668" s="6">
        <v>352</v>
      </c>
      <c r="J668" s="11">
        <v>352</v>
      </c>
      <c r="M668" s="6" t="str" cm="1">
        <f t="array" ref="M668">_xlfn.IFS(J668&lt;=500,"Low",J668&gt;=1500,"Mid",J668&lt;=1500,"High",TRUE,"no")</f>
        <v>Low</v>
      </c>
      <c r="N668" s="6"/>
      <c r="O668" s="6" t="str">
        <f t="shared" si="18"/>
        <v>Alice</v>
      </c>
    </row>
    <row r="669" spans="1:15" x14ac:dyDescent="0.3">
      <c r="A669" s="10">
        <v>668</v>
      </c>
      <c r="B669" s="18">
        <v>45594</v>
      </c>
      <c r="C669" s="6" t="s">
        <v>687</v>
      </c>
      <c r="D669" s="6" t="s">
        <v>2</v>
      </c>
      <c r="E669" s="6" t="s">
        <v>14</v>
      </c>
      <c r="F669" s="6">
        <v>27</v>
      </c>
      <c r="G669" s="6" t="s">
        <v>20</v>
      </c>
      <c r="H669" s="6">
        <v>4</v>
      </c>
      <c r="I669" s="6">
        <v>228</v>
      </c>
      <c r="J669" s="11">
        <v>912</v>
      </c>
      <c r="M669" s="6" t="str" cm="1">
        <f t="array" ref="M669">_xlfn.IFS(J669&lt;=500,"Low",J669&gt;=1500,"Mid",J669&lt;=1500,"High",TRUE,"no")</f>
        <v>High</v>
      </c>
      <c r="N669" s="6"/>
      <c r="O669" s="6" t="str">
        <f t="shared" si="18"/>
        <v>Diana</v>
      </c>
    </row>
    <row r="670" spans="1:15" x14ac:dyDescent="0.3">
      <c r="A670" s="10">
        <v>669</v>
      </c>
      <c r="B670" s="18">
        <v>45595</v>
      </c>
      <c r="C670" s="6" t="s">
        <v>688</v>
      </c>
      <c r="D670" s="6" t="s">
        <v>1</v>
      </c>
      <c r="E670" s="6" t="s">
        <v>14</v>
      </c>
      <c r="F670" s="6">
        <v>41</v>
      </c>
      <c r="G670" s="6" t="s">
        <v>27</v>
      </c>
      <c r="H670" s="6">
        <v>3</v>
      </c>
      <c r="I670" s="6">
        <v>253</v>
      </c>
      <c r="J670" s="11">
        <v>759</v>
      </c>
      <c r="M670" s="6" t="str" cm="1">
        <f t="array" ref="M670">_xlfn.IFS(J670&lt;=500,"Low",J670&gt;=1500,"Mid",J670&lt;=1500,"High",TRUE,"no")</f>
        <v>High</v>
      </c>
      <c r="N670" s="6"/>
      <c r="O670" s="6" t="str">
        <f t="shared" si="18"/>
        <v>Charlie</v>
      </c>
    </row>
    <row r="671" spans="1:15" x14ac:dyDescent="0.3">
      <c r="A671" s="10">
        <v>670</v>
      </c>
      <c r="B671" s="18">
        <v>45596</v>
      </c>
      <c r="C671" s="6" t="s">
        <v>689</v>
      </c>
      <c r="D671" s="6" t="s">
        <v>2</v>
      </c>
      <c r="E671" s="6" t="s">
        <v>14</v>
      </c>
      <c r="F671" s="6">
        <v>44</v>
      </c>
      <c r="G671" s="6" t="s">
        <v>20</v>
      </c>
      <c r="H671" s="6">
        <v>4</v>
      </c>
      <c r="I671" s="6">
        <v>218</v>
      </c>
      <c r="J671" s="11">
        <v>872</v>
      </c>
      <c r="M671" s="6" t="str" cm="1">
        <f t="array" ref="M671">_xlfn.IFS(J671&lt;=500,"Low",J671&gt;=1500,"Mid",J671&lt;=1500,"High",TRUE,"no")</f>
        <v>High</v>
      </c>
      <c r="N671" s="6"/>
      <c r="O671" s="6" t="str">
        <f t="shared" si="18"/>
        <v>Diana</v>
      </c>
    </row>
    <row r="672" spans="1:15" x14ac:dyDescent="0.3">
      <c r="A672" s="10">
        <v>671</v>
      </c>
      <c r="B672" s="18">
        <v>45597</v>
      </c>
      <c r="C672" s="6" t="s">
        <v>690</v>
      </c>
      <c r="D672" s="6" t="s">
        <v>1</v>
      </c>
      <c r="E672" s="6" t="s">
        <v>19</v>
      </c>
      <c r="F672" s="6">
        <v>51</v>
      </c>
      <c r="G672" s="6" t="s">
        <v>17</v>
      </c>
      <c r="H672" s="6">
        <v>2</v>
      </c>
      <c r="I672" s="6">
        <v>459</v>
      </c>
      <c r="J672" s="11">
        <v>918</v>
      </c>
      <c r="M672" s="6" t="str" cm="1">
        <f t="array" ref="M672">_xlfn.IFS(J672&lt;=500,"Low",J672&gt;=1500,"Mid",J672&lt;=1500,"High",TRUE,"no")</f>
        <v>High</v>
      </c>
      <c r="N672" s="6"/>
      <c r="O672" s="6" t="str">
        <f t="shared" si="18"/>
        <v>Charlie</v>
      </c>
    </row>
    <row r="673" spans="1:15" x14ac:dyDescent="0.3">
      <c r="A673" s="10">
        <v>672</v>
      </c>
      <c r="B673" s="18">
        <v>45598</v>
      </c>
      <c r="C673" s="6" t="s">
        <v>691</v>
      </c>
      <c r="D673" s="6" t="s">
        <v>3</v>
      </c>
      <c r="E673" s="6" t="s">
        <v>14</v>
      </c>
      <c r="F673" s="6">
        <v>51</v>
      </c>
      <c r="G673" s="6" t="s">
        <v>20</v>
      </c>
      <c r="H673" s="6">
        <v>1</v>
      </c>
      <c r="I673" s="6">
        <v>35</v>
      </c>
      <c r="J673" s="11">
        <v>35</v>
      </c>
      <c r="M673" s="6" t="str" cm="1">
        <f t="array" ref="M673">_xlfn.IFS(J673&lt;=500,"Low",J673&gt;=1500,"Mid",J673&lt;=1500,"High",TRUE,"no")</f>
        <v>Low</v>
      </c>
      <c r="N673" s="6"/>
      <c r="O673" s="6" t="str">
        <f t="shared" si="18"/>
        <v>Bob</v>
      </c>
    </row>
    <row r="674" spans="1:15" x14ac:dyDescent="0.3">
      <c r="A674" s="10">
        <v>673</v>
      </c>
      <c r="B674" s="18">
        <v>45599</v>
      </c>
      <c r="C674" s="6" t="s">
        <v>692</v>
      </c>
      <c r="D674" s="6" t="s">
        <v>1</v>
      </c>
      <c r="E674" s="6" t="s">
        <v>19</v>
      </c>
      <c r="F674" s="6">
        <v>37</v>
      </c>
      <c r="G674" s="6" t="s">
        <v>20</v>
      </c>
      <c r="H674" s="6">
        <v>3</v>
      </c>
      <c r="I674" s="6">
        <v>276</v>
      </c>
      <c r="J674" s="11">
        <v>828</v>
      </c>
      <c r="M674" s="6" t="str" cm="1">
        <f t="array" ref="M674">_xlfn.IFS(J674&lt;=500,"Low",J674&gt;=1500,"Mid",J674&lt;=1500,"High",TRUE,"no")</f>
        <v>High</v>
      </c>
      <c r="N674" s="6"/>
      <c r="O674" s="6" t="str">
        <f t="shared" si="18"/>
        <v>Charlie</v>
      </c>
    </row>
    <row r="675" spans="1:15" x14ac:dyDescent="0.3">
      <c r="A675" s="10">
        <v>674</v>
      </c>
      <c r="B675" s="18">
        <v>45600</v>
      </c>
      <c r="C675" s="6" t="s">
        <v>693</v>
      </c>
      <c r="D675" s="6" t="s">
        <v>4</v>
      </c>
      <c r="E675" s="6" t="s">
        <v>14</v>
      </c>
      <c r="F675" s="6">
        <v>29</v>
      </c>
      <c r="G675" s="6" t="s">
        <v>15</v>
      </c>
      <c r="H675" s="6">
        <v>1</v>
      </c>
      <c r="I675" s="6">
        <v>363</v>
      </c>
      <c r="J675" s="11">
        <v>363</v>
      </c>
      <c r="M675" s="6" t="str" cm="1">
        <f t="array" ref="M675">_xlfn.IFS(J675&lt;=500,"Low",J675&gt;=1500,"Mid",J675&lt;=1500,"High",TRUE,"no")</f>
        <v>Low</v>
      </c>
      <c r="N675" s="6"/>
      <c r="O675" s="6" t="str">
        <f t="shared" si="18"/>
        <v>Alice</v>
      </c>
    </row>
    <row r="676" spans="1:15" x14ac:dyDescent="0.3">
      <c r="A676" s="10">
        <v>675</v>
      </c>
      <c r="B676" s="18">
        <v>45601</v>
      </c>
      <c r="C676" s="6" t="s">
        <v>694</v>
      </c>
      <c r="D676" s="6" t="s">
        <v>4</v>
      </c>
      <c r="E676" s="6" t="s">
        <v>14</v>
      </c>
      <c r="F676" s="6">
        <v>44</v>
      </c>
      <c r="G676" s="6" t="s">
        <v>27</v>
      </c>
      <c r="H676" s="6">
        <v>4</v>
      </c>
      <c r="I676" s="6">
        <v>257</v>
      </c>
      <c r="J676" s="11">
        <v>1028</v>
      </c>
      <c r="M676" s="6" t="str" cm="1">
        <f t="array" ref="M676">_xlfn.IFS(J676&lt;=500,"Low",J676&gt;=1500,"Mid",J676&lt;=1500,"High",TRUE,"no")</f>
        <v>High</v>
      </c>
      <c r="N676" s="6"/>
      <c r="O676" s="6" t="str">
        <f t="shared" si="18"/>
        <v>Alice</v>
      </c>
    </row>
    <row r="677" spans="1:15" x14ac:dyDescent="0.3">
      <c r="A677" s="10">
        <v>676</v>
      </c>
      <c r="B677" s="18">
        <v>45602</v>
      </c>
      <c r="C677" s="6" t="s">
        <v>695</v>
      </c>
      <c r="D677" s="6" t="s">
        <v>4</v>
      </c>
      <c r="E677" s="6" t="s">
        <v>19</v>
      </c>
      <c r="F677" s="6">
        <v>37</v>
      </c>
      <c r="G677" s="6" t="s">
        <v>15</v>
      </c>
      <c r="H677" s="6">
        <v>3</v>
      </c>
      <c r="I677" s="6">
        <v>437</v>
      </c>
      <c r="J677" s="11">
        <v>1311</v>
      </c>
      <c r="M677" s="6" t="str" cm="1">
        <f t="array" ref="M677">_xlfn.IFS(J677&lt;=500,"Low",J677&gt;=1500,"Mid",J677&lt;=1500,"High",TRUE,"no")</f>
        <v>High</v>
      </c>
      <c r="N677" s="6"/>
      <c r="O677" s="6" t="str">
        <f t="shared" si="18"/>
        <v>Alice</v>
      </c>
    </row>
    <row r="678" spans="1:15" x14ac:dyDescent="0.3">
      <c r="A678" s="10">
        <v>677</v>
      </c>
      <c r="B678" s="18">
        <v>45603</v>
      </c>
      <c r="C678" s="6" t="s">
        <v>696</v>
      </c>
      <c r="D678" s="6" t="s">
        <v>1</v>
      </c>
      <c r="E678" s="6" t="s">
        <v>14</v>
      </c>
      <c r="F678" s="6">
        <v>39</v>
      </c>
      <c r="G678" s="6" t="s">
        <v>15</v>
      </c>
      <c r="H678" s="6">
        <v>1</v>
      </c>
      <c r="I678" s="6">
        <v>33</v>
      </c>
      <c r="J678" s="11">
        <v>33</v>
      </c>
      <c r="M678" s="6" t="str" cm="1">
        <f t="array" ref="M678">_xlfn.IFS(J678&lt;=500,"Low",J678&gt;=1500,"Mid",J678&lt;=1500,"High",TRUE,"no")</f>
        <v>Low</v>
      </c>
      <c r="N678" s="6"/>
      <c r="O678" s="6" t="str">
        <f t="shared" si="18"/>
        <v>Charlie</v>
      </c>
    </row>
    <row r="679" spans="1:15" x14ac:dyDescent="0.3">
      <c r="A679" s="10">
        <v>678</v>
      </c>
      <c r="B679" s="18">
        <v>45604</v>
      </c>
      <c r="C679" s="6" t="s">
        <v>697</v>
      </c>
      <c r="D679" s="6" t="s">
        <v>4</v>
      </c>
      <c r="E679" s="6" t="s">
        <v>14</v>
      </c>
      <c r="F679" s="6">
        <v>35</v>
      </c>
      <c r="G679" s="6" t="s">
        <v>17</v>
      </c>
      <c r="H679" s="6">
        <v>1</v>
      </c>
      <c r="I679" s="6">
        <v>246</v>
      </c>
      <c r="J679" s="11">
        <v>246</v>
      </c>
      <c r="M679" s="6" t="str" cm="1">
        <f t="array" ref="M679">_xlfn.IFS(J679&lt;=500,"Low",J679&gt;=1500,"Mid",J679&lt;=1500,"High",TRUE,"no")</f>
        <v>Low</v>
      </c>
      <c r="N679" s="6"/>
      <c r="O679" s="6" t="str">
        <f t="shared" si="18"/>
        <v>Alice</v>
      </c>
    </row>
    <row r="680" spans="1:15" x14ac:dyDescent="0.3">
      <c r="A680" s="10">
        <v>679</v>
      </c>
      <c r="B680" s="18">
        <v>45605</v>
      </c>
      <c r="C680" s="6" t="s">
        <v>698</v>
      </c>
      <c r="D680" s="6" t="s">
        <v>4</v>
      </c>
      <c r="E680" s="6" t="s">
        <v>19</v>
      </c>
      <c r="F680" s="6">
        <v>28</v>
      </c>
      <c r="G680" s="6" t="s">
        <v>27</v>
      </c>
      <c r="H680" s="6">
        <v>1</v>
      </c>
      <c r="I680" s="6">
        <v>487</v>
      </c>
      <c r="J680" s="11">
        <v>487</v>
      </c>
      <c r="M680" s="6" t="str" cm="1">
        <f t="array" ref="M680">_xlfn.IFS(J680&lt;=500,"Low",J680&gt;=1500,"Mid",J680&lt;=1500,"High",TRUE,"no")</f>
        <v>Low</v>
      </c>
      <c r="N680" s="6"/>
      <c r="O680" s="6" t="str">
        <f t="shared" si="18"/>
        <v>Alice</v>
      </c>
    </row>
    <row r="681" spans="1:15" x14ac:dyDescent="0.3">
      <c r="A681" s="10">
        <v>680</v>
      </c>
      <c r="B681" s="18">
        <v>45606</v>
      </c>
      <c r="C681" s="6" t="s">
        <v>699</v>
      </c>
      <c r="D681" s="6" t="s">
        <v>4</v>
      </c>
      <c r="E681" s="6" t="s">
        <v>19</v>
      </c>
      <c r="F681" s="6">
        <v>42</v>
      </c>
      <c r="G681" s="6" t="s">
        <v>17</v>
      </c>
      <c r="H681" s="6">
        <v>5</v>
      </c>
      <c r="I681" s="6">
        <v>380</v>
      </c>
      <c r="J681" s="11">
        <v>1900</v>
      </c>
      <c r="M681" s="6" t="str" cm="1">
        <f t="array" ref="M681">_xlfn.IFS(J681&lt;=500,"Low",J681&gt;=1500,"Mid",J681&lt;=1500,"High",TRUE,"no")</f>
        <v>Mid</v>
      </c>
      <c r="N681" s="6"/>
      <c r="O681" s="6" t="str">
        <f t="shared" si="18"/>
        <v>Alice</v>
      </c>
    </row>
    <row r="682" spans="1:15" x14ac:dyDescent="0.3">
      <c r="A682" s="10">
        <v>681</v>
      </c>
      <c r="B682" s="18">
        <v>45607</v>
      </c>
      <c r="C682" s="6" t="s">
        <v>700</v>
      </c>
      <c r="D682" s="6" t="s">
        <v>3</v>
      </c>
      <c r="E682" s="6" t="s">
        <v>14</v>
      </c>
      <c r="F682" s="6">
        <v>25</v>
      </c>
      <c r="G682" s="6" t="s">
        <v>17</v>
      </c>
      <c r="H682" s="6">
        <v>4</v>
      </c>
      <c r="I682" s="6">
        <v>128</v>
      </c>
      <c r="J682" s="11">
        <v>512</v>
      </c>
      <c r="M682" s="6" t="str" cm="1">
        <f t="array" ref="M682">_xlfn.IFS(J682&lt;=500,"Low",J682&gt;=1500,"Mid",J682&lt;=1500,"High",TRUE,"no")</f>
        <v>High</v>
      </c>
      <c r="N682" s="6"/>
      <c r="O682" s="6" t="str">
        <f t="shared" si="18"/>
        <v>Bob</v>
      </c>
    </row>
    <row r="683" spans="1:15" x14ac:dyDescent="0.3">
      <c r="A683" s="10">
        <v>682</v>
      </c>
      <c r="B683" s="18">
        <v>45608</v>
      </c>
      <c r="C683" s="6" t="s">
        <v>701</v>
      </c>
      <c r="D683" s="6" t="s">
        <v>1</v>
      </c>
      <c r="E683" s="6" t="s">
        <v>19</v>
      </c>
      <c r="F683" s="6">
        <v>49</v>
      </c>
      <c r="G683" s="6" t="s">
        <v>15</v>
      </c>
      <c r="H683" s="6">
        <v>3</v>
      </c>
      <c r="I683" s="6">
        <v>133</v>
      </c>
      <c r="J683" s="11">
        <v>399</v>
      </c>
      <c r="M683" s="6" t="str" cm="1">
        <f t="array" ref="M683">_xlfn.IFS(J683&lt;=500,"Low",J683&gt;=1500,"Mid",J683&lt;=1500,"High",TRUE,"no")</f>
        <v>Low</v>
      </c>
      <c r="N683" s="6"/>
      <c r="O683" s="6" t="str">
        <f t="shared" si="18"/>
        <v>Charlie</v>
      </c>
    </row>
    <row r="684" spans="1:15" x14ac:dyDescent="0.3">
      <c r="A684" s="10">
        <v>683</v>
      </c>
      <c r="B684" s="18">
        <v>45609</v>
      </c>
      <c r="C684" s="6" t="s">
        <v>702</v>
      </c>
      <c r="D684" s="6" t="s">
        <v>1</v>
      </c>
      <c r="E684" s="6" t="s">
        <v>14</v>
      </c>
      <c r="F684" s="6">
        <v>18</v>
      </c>
      <c r="G684" s="6" t="s">
        <v>27</v>
      </c>
      <c r="H684" s="6">
        <v>3</v>
      </c>
      <c r="I684" s="6">
        <v>314</v>
      </c>
      <c r="J684" s="11">
        <v>942</v>
      </c>
      <c r="M684" s="6" t="str" cm="1">
        <f t="array" ref="M684">_xlfn.IFS(J684&lt;=500,"Low",J684&gt;=1500,"Mid",J684&lt;=1500,"High",TRUE,"no")</f>
        <v>High</v>
      </c>
      <c r="N684" s="6"/>
      <c r="O684" s="6" t="str">
        <f t="shared" si="18"/>
        <v>Charlie</v>
      </c>
    </row>
    <row r="685" spans="1:15" x14ac:dyDescent="0.3">
      <c r="A685" s="10">
        <v>684</v>
      </c>
      <c r="B685" s="18">
        <v>45610</v>
      </c>
      <c r="C685" s="6" t="s">
        <v>703</v>
      </c>
      <c r="D685" s="6" t="s">
        <v>2</v>
      </c>
      <c r="E685" s="6" t="s">
        <v>19</v>
      </c>
      <c r="F685" s="6">
        <v>22</v>
      </c>
      <c r="G685" s="6" t="s">
        <v>27</v>
      </c>
      <c r="H685" s="6">
        <v>1</v>
      </c>
      <c r="I685" s="6">
        <v>38</v>
      </c>
      <c r="J685" s="11">
        <v>38</v>
      </c>
      <c r="M685" s="6" t="str" cm="1">
        <f t="array" ref="M685">_xlfn.IFS(J685&lt;=500,"Low",J685&gt;=1500,"Mid",J685&lt;=1500,"High",TRUE,"no")</f>
        <v>Low</v>
      </c>
      <c r="N685" s="6"/>
      <c r="O685" s="6" t="str">
        <f t="shared" si="18"/>
        <v>Diana</v>
      </c>
    </row>
    <row r="686" spans="1:15" x14ac:dyDescent="0.3">
      <c r="A686" s="10">
        <v>685</v>
      </c>
      <c r="B686" s="18">
        <v>45611</v>
      </c>
      <c r="C686" s="6" t="s">
        <v>704</v>
      </c>
      <c r="D686" s="6" t="s">
        <v>1</v>
      </c>
      <c r="E686" s="6" t="s">
        <v>14</v>
      </c>
      <c r="F686" s="6">
        <v>32</v>
      </c>
      <c r="G686" s="6" t="s">
        <v>20</v>
      </c>
      <c r="H686" s="6">
        <v>3</v>
      </c>
      <c r="I686" s="6">
        <v>28</v>
      </c>
      <c r="J686" s="11">
        <v>84</v>
      </c>
      <c r="M686" s="6" t="str" cm="1">
        <f t="array" ref="M686">_xlfn.IFS(J686&lt;=500,"Low",J686&gt;=1500,"Mid",J686&lt;=1500,"High",TRUE,"no")</f>
        <v>Low</v>
      </c>
      <c r="N686" s="6"/>
      <c r="O686" s="6" t="str">
        <f t="shared" si="18"/>
        <v>Charlie</v>
      </c>
    </row>
    <row r="687" spans="1:15" x14ac:dyDescent="0.3">
      <c r="A687" s="10">
        <v>686</v>
      </c>
      <c r="B687" s="18">
        <v>45612</v>
      </c>
      <c r="C687" s="6" t="s">
        <v>705</v>
      </c>
      <c r="D687" s="6" t="s">
        <v>3</v>
      </c>
      <c r="E687" s="6" t="s">
        <v>14</v>
      </c>
      <c r="F687" s="6">
        <v>44</v>
      </c>
      <c r="G687" s="6" t="s">
        <v>15</v>
      </c>
      <c r="H687" s="6">
        <v>1</v>
      </c>
      <c r="I687" s="6">
        <v>487</v>
      </c>
      <c r="J687" s="11">
        <v>487</v>
      </c>
      <c r="M687" s="6" t="str" cm="1">
        <f t="array" ref="M687">_xlfn.IFS(J687&lt;=500,"Low",J687&gt;=1500,"Mid",J687&lt;=1500,"High",TRUE,"no")</f>
        <v>Low</v>
      </c>
      <c r="N687" s="6"/>
      <c r="O687" s="6" t="str">
        <f t="shared" si="18"/>
        <v>Bob</v>
      </c>
    </row>
    <row r="688" spans="1:15" x14ac:dyDescent="0.3">
      <c r="A688" s="10">
        <v>687</v>
      </c>
      <c r="B688" s="18">
        <v>45613</v>
      </c>
      <c r="C688" s="6" t="s">
        <v>706</v>
      </c>
      <c r="D688" s="6" t="s">
        <v>1</v>
      </c>
      <c r="E688" s="6" t="s">
        <v>14</v>
      </c>
      <c r="F688" s="6">
        <v>59</v>
      </c>
      <c r="G688" s="6" t="s">
        <v>23</v>
      </c>
      <c r="H688" s="6">
        <v>1</v>
      </c>
      <c r="I688" s="6">
        <v>395</v>
      </c>
      <c r="J688" s="11">
        <v>395</v>
      </c>
      <c r="M688" s="6" t="str" cm="1">
        <f t="array" ref="M688">_xlfn.IFS(J688&lt;=500,"Low",J688&gt;=1500,"Mid",J688&lt;=1500,"High",TRUE,"no")</f>
        <v>Low</v>
      </c>
      <c r="N688" s="6"/>
      <c r="O688" s="6" t="str">
        <f t="shared" si="18"/>
        <v>Charlie</v>
      </c>
    </row>
    <row r="689" spans="1:15" x14ac:dyDescent="0.3">
      <c r="A689" s="10">
        <v>688</v>
      </c>
      <c r="B689" s="18">
        <v>45614</v>
      </c>
      <c r="C689" s="6" t="s">
        <v>707</v>
      </c>
      <c r="D689" s="6" t="s">
        <v>3</v>
      </c>
      <c r="E689" s="6" t="s">
        <v>19</v>
      </c>
      <c r="F689" s="6">
        <v>19</v>
      </c>
      <c r="G689" s="6" t="s">
        <v>23</v>
      </c>
      <c r="H689" s="6">
        <v>2</v>
      </c>
      <c r="I689" s="6">
        <v>216</v>
      </c>
      <c r="J689" s="11">
        <v>432</v>
      </c>
      <c r="M689" s="6" t="str" cm="1">
        <f t="array" ref="M689">_xlfn.IFS(J689&lt;=500,"Low",J689&gt;=1500,"Mid",J689&lt;=1500,"High",TRUE,"no")</f>
        <v>Low</v>
      </c>
      <c r="N689" s="6"/>
      <c r="O689" s="6" t="str">
        <f t="shared" si="18"/>
        <v>Bob</v>
      </c>
    </row>
    <row r="690" spans="1:15" x14ac:dyDescent="0.3">
      <c r="A690" s="10">
        <v>689</v>
      </c>
      <c r="B690" s="18">
        <v>45615</v>
      </c>
      <c r="C690" s="6" t="s">
        <v>708</v>
      </c>
      <c r="D690" s="6" t="s">
        <v>3</v>
      </c>
      <c r="E690" s="6" t="s">
        <v>19</v>
      </c>
      <c r="F690" s="6">
        <v>53</v>
      </c>
      <c r="G690" s="6" t="s">
        <v>27</v>
      </c>
      <c r="H690" s="6">
        <v>4</v>
      </c>
      <c r="I690" s="6">
        <v>471</v>
      </c>
      <c r="J690" s="11">
        <v>1884</v>
      </c>
      <c r="M690" s="6" t="str" cm="1">
        <f t="array" ref="M690">_xlfn.IFS(J690&lt;=500,"Low",J690&gt;=1500,"Mid",J690&lt;=1500,"High",TRUE,"no")</f>
        <v>Mid</v>
      </c>
      <c r="N690" s="6"/>
      <c r="O690" s="6" t="str">
        <f t="shared" si="18"/>
        <v>Bob</v>
      </c>
    </row>
    <row r="691" spans="1:15" x14ac:dyDescent="0.3">
      <c r="A691" s="10">
        <v>690</v>
      </c>
      <c r="B691" s="18">
        <v>45616</v>
      </c>
      <c r="C691" s="6" t="s">
        <v>709</v>
      </c>
      <c r="D691" s="6" t="s">
        <v>1</v>
      </c>
      <c r="E691" s="6" t="s">
        <v>14</v>
      </c>
      <c r="F691" s="6">
        <v>19</v>
      </c>
      <c r="G691" s="6" t="s">
        <v>20</v>
      </c>
      <c r="H691" s="6">
        <v>3</v>
      </c>
      <c r="I691" s="6">
        <v>396</v>
      </c>
      <c r="J691" s="11">
        <v>1188</v>
      </c>
      <c r="M691" s="6" t="str" cm="1">
        <f t="array" ref="M691">_xlfn.IFS(J691&lt;=500,"Low",J691&gt;=1500,"Mid",J691&lt;=1500,"High",TRUE,"no")</f>
        <v>High</v>
      </c>
      <c r="N691" s="6"/>
      <c r="O691" s="6" t="str">
        <f t="shared" si="18"/>
        <v>Charlie</v>
      </c>
    </row>
    <row r="692" spans="1:15" x14ac:dyDescent="0.3">
      <c r="A692" s="10">
        <v>691</v>
      </c>
      <c r="B692" s="18">
        <v>45617</v>
      </c>
      <c r="C692" s="6" t="s">
        <v>710</v>
      </c>
      <c r="D692" s="6" t="s">
        <v>2</v>
      </c>
      <c r="E692" s="6" t="s">
        <v>19</v>
      </c>
      <c r="F692" s="6">
        <v>32</v>
      </c>
      <c r="G692" s="6" t="s">
        <v>23</v>
      </c>
      <c r="H692" s="6">
        <v>4</v>
      </c>
      <c r="I692" s="6">
        <v>282</v>
      </c>
      <c r="J692" s="11">
        <v>1128</v>
      </c>
      <c r="M692" s="6" t="str" cm="1">
        <f t="array" ref="M692">_xlfn.IFS(J692&lt;=500,"Low",J692&gt;=1500,"Mid",J692&lt;=1500,"High",TRUE,"no")</f>
        <v>High</v>
      </c>
      <c r="N692" s="6"/>
      <c r="O692" s="6" t="str">
        <f t="shared" si="18"/>
        <v>Diana</v>
      </c>
    </row>
    <row r="693" spans="1:15" x14ac:dyDescent="0.3">
      <c r="A693" s="10">
        <v>692</v>
      </c>
      <c r="B693" s="18">
        <v>45618</v>
      </c>
      <c r="C693" s="6" t="s">
        <v>711</v>
      </c>
      <c r="D693" s="6" t="s">
        <v>4</v>
      </c>
      <c r="E693" s="6" t="s">
        <v>14</v>
      </c>
      <c r="F693" s="6">
        <v>29</v>
      </c>
      <c r="G693" s="6" t="s">
        <v>15</v>
      </c>
      <c r="H693" s="6">
        <v>3</v>
      </c>
      <c r="I693" s="6">
        <v>113</v>
      </c>
      <c r="J693" s="11">
        <v>339</v>
      </c>
      <c r="M693" s="6" t="str" cm="1">
        <f t="array" ref="M693">_xlfn.IFS(J693&lt;=500,"Low",J693&gt;=1500,"Mid",J693&lt;=1500,"High",TRUE,"no")</f>
        <v>Low</v>
      </c>
      <c r="N693" s="6"/>
      <c r="O693" s="6" t="str">
        <f t="shared" si="18"/>
        <v>Alice</v>
      </c>
    </row>
    <row r="694" spans="1:15" x14ac:dyDescent="0.3">
      <c r="A694" s="10">
        <v>693</v>
      </c>
      <c r="B694" s="18">
        <v>45619</v>
      </c>
      <c r="C694" s="6" t="s">
        <v>712</v>
      </c>
      <c r="D694" s="6" t="s">
        <v>4</v>
      </c>
      <c r="E694" s="6" t="s">
        <v>19</v>
      </c>
      <c r="F694" s="6">
        <v>42</v>
      </c>
      <c r="G694" s="6" t="s">
        <v>23</v>
      </c>
      <c r="H694" s="6">
        <v>5</v>
      </c>
      <c r="I694" s="6">
        <v>459</v>
      </c>
      <c r="J694" s="11">
        <v>2295</v>
      </c>
      <c r="M694" s="6" t="str" cm="1">
        <f t="array" ref="M694">_xlfn.IFS(J694&lt;=500,"Low",J694&gt;=1500,"Mid",J694&lt;=1500,"High",TRUE,"no")</f>
        <v>Mid</v>
      </c>
      <c r="N694" s="6"/>
      <c r="O694" s="6" t="str">
        <f t="shared" si="18"/>
        <v>Alice</v>
      </c>
    </row>
    <row r="695" spans="1:15" x14ac:dyDescent="0.3">
      <c r="A695" s="10">
        <v>694</v>
      </c>
      <c r="B695" s="18">
        <v>45620</v>
      </c>
      <c r="C695" s="6" t="s">
        <v>713</v>
      </c>
      <c r="D695" s="6" t="s">
        <v>1</v>
      </c>
      <c r="E695" s="6" t="s">
        <v>14</v>
      </c>
      <c r="F695" s="6">
        <v>40</v>
      </c>
      <c r="G695" s="6" t="s">
        <v>23</v>
      </c>
      <c r="H695" s="6">
        <v>5</v>
      </c>
      <c r="I695" s="6">
        <v>223</v>
      </c>
      <c r="J695" s="11">
        <v>1115</v>
      </c>
      <c r="M695" s="6" t="str" cm="1">
        <f t="array" ref="M695">_xlfn.IFS(J695&lt;=500,"Low",J695&gt;=1500,"Mid",J695&lt;=1500,"High",TRUE,"no")</f>
        <v>High</v>
      </c>
      <c r="N695" s="6"/>
      <c r="O695" s="6" t="str">
        <f t="shared" si="18"/>
        <v>Charlie</v>
      </c>
    </row>
    <row r="696" spans="1:15" x14ac:dyDescent="0.3">
      <c r="A696" s="10">
        <v>695</v>
      </c>
      <c r="B696" s="18">
        <v>45621</v>
      </c>
      <c r="C696" s="6" t="s">
        <v>714</v>
      </c>
      <c r="D696" s="6" t="s">
        <v>1</v>
      </c>
      <c r="E696" s="6" t="s">
        <v>14</v>
      </c>
      <c r="F696" s="6">
        <v>37</v>
      </c>
      <c r="G696" s="6" t="s">
        <v>17</v>
      </c>
      <c r="H696" s="6">
        <v>1</v>
      </c>
      <c r="I696" s="6">
        <v>271</v>
      </c>
      <c r="J696" s="11">
        <v>271</v>
      </c>
      <c r="M696" s="6" t="str" cm="1">
        <f t="array" ref="M696">_xlfn.IFS(J696&lt;=500,"Low",J696&gt;=1500,"Mid",J696&lt;=1500,"High",TRUE,"no")</f>
        <v>Low</v>
      </c>
      <c r="N696" s="6"/>
      <c r="O696" s="6" t="str">
        <f t="shared" si="18"/>
        <v>Charlie</v>
      </c>
    </row>
    <row r="697" spans="1:15" x14ac:dyDescent="0.3">
      <c r="A697" s="10">
        <v>696</v>
      </c>
      <c r="B697" s="18">
        <v>45622</v>
      </c>
      <c r="C697" s="6" t="s">
        <v>715</v>
      </c>
      <c r="D697" s="6" t="s">
        <v>3</v>
      </c>
      <c r="E697" s="6" t="s">
        <v>19</v>
      </c>
      <c r="F697" s="6">
        <v>21</v>
      </c>
      <c r="G697" s="6" t="s">
        <v>20</v>
      </c>
      <c r="H697" s="6">
        <v>2</v>
      </c>
      <c r="I697" s="6">
        <v>104</v>
      </c>
      <c r="J697" s="11">
        <v>208</v>
      </c>
      <c r="M697" s="6" t="str" cm="1">
        <f t="array" ref="M697">_xlfn.IFS(J697&lt;=500,"Low",J697&gt;=1500,"Mid",J697&lt;=1500,"High",TRUE,"no")</f>
        <v>Low</v>
      </c>
      <c r="N697" s="6"/>
      <c r="O697" s="6" t="str">
        <f t="shared" si="18"/>
        <v>Bob</v>
      </c>
    </row>
    <row r="698" spans="1:15" x14ac:dyDescent="0.3">
      <c r="A698" s="10">
        <v>697</v>
      </c>
      <c r="B698" s="18">
        <v>45623</v>
      </c>
      <c r="C698" s="6" t="s">
        <v>716</v>
      </c>
      <c r="D698" s="6" t="s">
        <v>1</v>
      </c>
      <c r="E698" s="6" t="s">
        <v>14</v>
      </c>
      <c r="F698" s="6">
        <v>37</v>
      </c>
      <c r="G698" s="6" t="s">
        <v>20</v>
      </c>
      <c r="H698" s="6">
        <v>5</v>
      </c>
      <c r="I698" s="6">
        <v>470</v>
      </c>
      <c r="J698" s="11">
        <v>2350</v>
      </c>
      <c r="M698" s="6" t="str" cm="1">
        <f t="array" ref="M698">_xlfn.IFS(J698&lt;=500,"Low",J698&gt;=1500,"Mid",J698&lt;=1500,"High",TRUE,"no")</f>
        <v>Mid</v>
      </c>
      <c r="N698" s="6"/>
      <c r="O698" s="6" t="str">
        <f t="shared" si="18"/>
        <v>Charlie</v>
      </c>
    </row>
    <row r="699" spans="1:15" x14ac:dyDescent="0.3">
      <c r="A699" s="10">
        <v>698</v>
      </c>
      <c r="B699" s="18">
        <v>45624</v>
      </c>
      <c r="C699" s="6" t="s">
        <v>717</v>
      </c>
      <c r="D699" s="6" t="s">
        <v>3</v>
      </c>
      <c r="E699" s="6" t="s">
        <v>14</v>
      </c>
      <c r="F699" s="6">
        <v>22</v>
      </c>
      <c r="G699" s="6" t="s">
        <v>17</v>
      </c>
      <c r="H699" s="6">
        <v>5</v>
      </c>
      <c r="I699" s="6">
        <v>332</v>
      </c>
      <c r="J699" s="11">
        <v>1660</v>
      </c>
      <c r="M699" s="6" t="str" cm="1">
        <f t="array" ref="M699">_xlfn.IFS(J699&lt;=500,"Low",J699&gt;=1500,"Mid",J699&lt;=1500,"High",TRUE,"no")</f>
        <v>Mid</v>
      </c>
      <c r="N699" s="6"/>
      <c r="O699" s="6" t="str">
        <f t="shared" si="18"/>
        <v>Bob</v>
      </c>
    </row>
    <row r="700" spans="1:15" x14ac:dyDescent="0.3">
      <c r="A700" s="10">
        <v>699</v>
      </c>
      <c r="B700" s="18">
        <v>45625</v>
      </c>
      <c r="C700" s="6" t="s">
        <v>718</v>
      </c>
      <c r="D700" s="6" t="s">
        <v>2</v>
      </c>
      <c r="E700" s="6" t="s">
        <v>19</v>
      </c>
      <c r="F700" s="6">
        <v>57</v>
      </c>
      <c r="G700" s="6" t="s">
        <v>27</v>
      </c>
      <c r="H700" s="6">
        <v>4</v>
      </c>
      <c r="I700" s="6">
        <v>125</v>
      </c>
      <c r="J700" s="11">
        <v>500</v>
      </c>
      <c r="M700" s="6" t="str" cm="1">
        <f t="array" ref="M700">_xlfn.IFS(J700&lt;=500,"Low",J700&gt;=1500,"Mid",J700&lt;=1500,"High",TRUE,"no")</f>
        <v>Low</v>
      </c>
      <c r="N700" s="6"/>
      <c r="O700" s="6" t="str">
        <f t="shared" si="18"/>
        <v>Diana</v>
      </c>
    </row>
    <row r="701" spans="1:15" x14ac:dyDescent="0.3">
      <c r="A701" s="10">
        <v>700</v>
      </c>
      <c r="B701" s="18">
        <v>45626</v>
      </c>
      <c r="C701" s="6" t="s">
        <v>719</v>
      </c>
      <c r="D701" s="6" t="s">
        <v>1</v>
      </c>
      <c r="E701" s="6" t="s">
        <v>14</v>
      </c>
      <c r="F701" s="6">
        <v>35</v>
      </c>
      <c r="G701" s="6" t="s">
        <v>27</v>
      </c>
      <c r="H701" s="6">
        <v>5</v>
      </c>
      <c r="I701" s="6">
        <v>414</v>
      </c>
      <c r="J701" s="11">
        <v>2070</v>
      </c>
      <c r="M701" s="6" t="str" cm="1">
        <f t="array" ref="M701">_xlfn.IFS(J701&lt;=500,"Low",J701&gt;=1500,"Mid",J701&lt;=1500,"High",TRUE,"no")</f>
        <v>Mid</v>
      </c>
      <c r="N701" s="6"/>
      <c r="O701" s="6" t="str">
        <f t="shared" si="18"/>
        <v>Charlie</v>
      </c>
    </row>
    <row r="702" spans="1:15" x14ac:dyDescent="0.3">
      <c r="A702" s="10">
        <v>701</v>
      </c>
      <c r="B702" s="18">
        <v>45627</v>
      </c>
      <c r="C702" s="6" t="s">
        <v>720</v>
      </c>
      <c r="D702" s="6" t="s">
        <v>4</v>
      </c>
      <c r="E702" s="6" t="s">
        <v>14</v>
      </c>
      <c r="F702" s="6">
        <v>50</v>
      </c>
      <c r="G702" s="6" t="s">
        <v>17</v>
      </c>
      <c r="H702" s="6">
        <v>3</v>
      </c>
      <c r="I702" s="6">
        <v>429</v>
      </c>
      <c r="J702" s="11">
        <v>1287</v>
      </c>
      <c r="M702" s="6" t="str" cm="1">
        <f t="array" ref="M702">_xlfn.IFS(J702&lt;=500,"Low",J702&gt;=1500,"Mid",J702&lt;=1500,"High",TRUE,"no")</f>
        <v>High</v>
      </c>
      <c r="N702" s="6"/>
      <c r="O702" s="6" t="str">
        <f t="shared" si="18"/>
        <v>Alice</v>
      </c>
    </row>
    <row r="703" spans="1:15" x14ac:dyDescent="0.3">
      <c r="A703" s="10">
        <v>702</v>
      </c>
      <c r="B703" s="18">
        <v>45628</v>
      </c>
      <c r="C703" s="6" t="s">
        <v>721</v>
      </c>
      <c r="D703" s="6" t="s">
        <v>4</v>
      </c>
      <c r="E703" s="6" t="s">
        <v>14</v>
      </c>
      <c r="F703" s="6">
        <v>58</v>
      </c>
      <c r="G703" s="6" t="s">
        <v>17</v>
      </c>
      <c r="H703" s="6">
        <v>2</v>
      </c>
      <c r="I703" s="6">
        <v>256</v>
      </c>
      <c r="J703" s="11">
        <v>512</v>
      </c>
      <c r="M703" s="6" t="str" cm="1">
        <f t="array" ref="M703">_xlfn.IFS(J703&lt;=500,"Low",J703&gt;=1500,"Mid",J703&lt;=1500,"High",TRUE,"no")</f>
        <v>High</v>
      </c>
      <c r="N703" s="6"/>
      <c r="O703" s="6" t="str">
        <f t="shared" si="18"/>
        <v>Alice</v>
      </c>
    </row>
    <row r="704" spans="1:15" x14ac:dyDescent="0.3">
      <c r="A704" s="10">
        <v>703</v>
      </c>
      <c r="B704" s="18">
        <v>45629</v>
      </c>
      <c r="C704" s="6" t="s">
        <v>722</v>
      </c>
      <c r="D704" s="6" t="s">
        <v>1</v>
      </c>
      <c r="E704" s="6" t="s">
        <v>14</v>
      </c>
      <c r="F704" s="6">
        <v>55</v>
      </c>
      <c r="G704" s="6" t="s">
        <v>27</v>
      </c>
      <c r="H704" s="6">
        <v>4</v>
      </c>
      <c r="I704" s="6">
        <v>259</v>
      </c>
      <c r="J704" s="11">
        <v>1036</v>
      </c>
      <c r="M704" s="6" t="str" cm="1">
        <f t="array" ref="M704">_xlfn.IFS(J704&lt;=500,"Low",J704&gt;=1500,"Mid",J704&lt;=1500,"High",TRUE,"no")</f>
        <v>High</v>
      </c>
      <c r="N704" s="6"/>
      <c r="O704" s="6" t="str">
        <f t="shared" si="18"/>
        <v>Charlie</v>
      </c>
    </row>
    <row r="705" spans="1:15" x14ac:dyDescent="0.3">
      <c r="A705" s="10">
        <v>704</v>
      </c>
      <c r="B705" s="18">
        <v>45630</v>
      </c>
      <c r="C705" s="6" t="s">
        <v>723</v>
      </c>
      <c r="D705" s="6" t="s">
        <v>3</v>
      </c>
      <c r="E705" s="6" t="s">
        <v>19</v>
      </c>
      <c r="F705" s="6">
        <v>23</v>
      </c>
      <c r="G705" s="6" t="s">
        <v>17</v>
      </c>
      <c r="H705" s="6">
        <v>1</v>
      </c>
      <c r="I705" s="6">
        <v>421</v>
      </c>
      <c r="J705" s="11">
        <v>421</v>
      </c>
      <c r="M705" s="6" t="str" cm="1">
        <f t="array" ref="M705">_xlfn.IFS(J705&lt;=500,"Low",J705&gt;=1500,"Mid",J705&lt;=1500,"High",TRUE,"no")</f>
        <v>Low</v>
      </c>
      <c r="N705" s="6"/>
      <c r="O705" s="6" t="str">
        <f t="shared" si="18"/>
        <v>Bob</v>
      </c>
    </row>
    <row r="706" spans="1:15" x14ac:dyDescent="0.3">
      <c r="A706" s="10">
        <v>705</v>
      </c>
      <c r="B706" s="18">
        <v>45631</v>
      </c>
      <c r="C706" s="6" t="s">
        <v>724</v>
      </c>
      <c r="D706" s="6" t="s">
        <v>4</v>
      </c>
      <c r="E706" s="6" t="s">
        <v>14</v>
      </c>
      <c r="F706" s="6">
        <v>32</v>
      </c>
      <c r="G706" s="6" t="s">
        <v>15</v>
      </c>
      <c r="H706" s="6">
        <v>4</v>
      </c>
      <c r="I706" s="6">
        <v>122</v>
      </c>
      <c r="J706" s="11">
        <v>488</v>
      </c>
      <c r="M706" s="6" t="str" cm="1">
        <f t="array" ref="M706">_xlfn.IFS(J706&lt;=500,"Low",J706&gt;=1500,"Mid",J706&lt;=1500,"High",TRUE,"no")</f>
        <v>Low</v>
      </c>
      <c r="N706" s="6"/>
      <c r="O706" s="6" t="str">
        <f t="shared" si="18"/>
        <v>Alice</v>
      </c>
    </row>
    <row r="707" spans="1:15" x14ac:dyDescent="0.3">
      <c r="A707" s="10">
        <v>706</v>
      </c>
      <c r="B707" s="18">
        <v>45632</v>
      </c>
      <c r="C707" s="6" t="s">
        <v>725</v>
      </c>
      <c r="D707" s="6" t="s">
        <v>3</v>
      </c>
      <c r="E707" s="6" t="s">
        <v>14</v>
      </c>
      <c r="F707" s="6">
        <v>51</v>
      </c>
      <c r="G707" s="6" t="s">
        <v>23</v>
      </c>
      <c r="H707" s="6">
        <v>5</v>
      </c>
      <c r="I707" s="6">
        <v>441</v>
      </c>
      <c r="J707" s="11">
        <v>2205</v>
      </c>
      <c r="M707" s="6" t="str" cm="1">
        <f t="array" ref="M707">_xlfn.IFS(J707&lt;=500,"Low",J707&gt;=1500,"Mid",J707&lt;=1500,"High",TRUE,"no")</f>
        <v>Mid</v>
      </c>
      <c r="N707" s="6"/>
      <c r="O707" s="6" t="str">
        <f t="shared" ref="O707:O770" si="19">INDEX(D707:D1706,MATCH($D$2,$D$2:$D$1001,0))</f>
        <v>Bob</v>
      </c>
    </row>
    <row r="708" spans="1:15" x14ac:dyDescent="0.3">
      <c r="A708" s="10">
        <v>707</v>
      </c>
      <c r="B708" s="18">
        <v>45633</v>
      </c>
      <c r="C708" s="6" t="s">
        <v>726</v>
      </c>
      <c r="D708" s="6" t="s">
        <v>1</v>
      </c>
      <c r="E708" s="6" t="s">
        <v>19</v>
      </c>
      <c r="F708" s="6">
        <v>23</v>
      </c>
      <c r="G708" s="6" t="s">
        <v>27</v>
      </c>
      <c r="H708" s="6">
        <v>5</v>
      </c>
      <c r="I708" s="6">
        <v>242</v>
      </c>
      <c r="J708" s="11">
        <v>1210</v>
      </c>
      <c r="M708" s="6" t="str" cm="1">
        <f t="array" ref="M708">_xlfn.IFS(J708&lt;=500,"Low",J708&gt;=1500,"Mid",J708&lt;=1500,"High",TRUE,"no")</f>
        <v>High</v>
      </c>
      <c r="N708" s="6"/>
      <c r="O708" s="6" t="str">
        <f t="shared" si="19"/>
        <v>Charlie</v>
      </c>
    </row>
    <row r="709" spans="1:15" x14ac:dyDescent="0.3">
      <c r="A709" s="10">
        <v>708</v>
      </c>
      <c r="B709" s="18">
        <v>45634</v>
      </c>
      <c r="C709" s="6" t="s">
        <v>727</v>
      </c>
      <c r="D709" s="6" t="s">
        <v>1</v>
      </c>
      <c r="E709" s="6" t="s">
        <v>19</v>
      </c>
      <c r="F709" s="6">
        <v>28</v>
      </c>
      <c r="G709" s="6" t="s">
        <v>17</v>
      </c>
      <c r="H709" s="6">
        <v>3</v>
      </c>
      <c r="I709" s="6">
        <v>76</v>
      </c>
      <c r="J709" s="11">
        <v>228</v>
      </c>
      <c r="M709" s="6" t="str" cm="1">
        <f t="array" ref="M709">_xlfn.IFS(J709&lt;=500,"Low",J709&gt;=1500,"Mid",J709&lt;=1500,"High",TRUE,"no")</f>
        <v>Low</v>
      </c>
      <c r="N709" s="6"/>
      <c r="O709" s="6" t="str">
        <f t="shared" si="19"/>
        <v>Charlie</v>
      </c>
    </row>
    <row r="710" spans="1:15" x14ac:dyDescent="0.3">
      <c r="A710" s="10">
        <v>709</v>
      </c>
      <c r="B710" s="18">
        <v>45635</v>
      </c>
      <c r="C710" s="6" t="s">
        <v>728</v>
      </c>
      <c r="D710" s="6" t="s">
        <v>4</v>
      </c>
      <c r="E710" s="6" t="s">
        <v>14</v>
      </c>
      <c r="F710" s="6">
        <v>37</v>
      </c>
      <c r="G710" s="6" t="s">
        <v>17</v>
      </c>
      <c r="H710" s="6">
        <v>4</v>
      </c>
      <c r="I710" s="6">
        <v>182</v>
      </c>
      <c r="J710" s="11">
        <v>728</v>
      </c>
      <c r="M710" s="6" t="str" cm="1">
        <f t="array" ref="M710">_xlfn.IFS(J710&lt;=500,"Low",J710&gt;=1500,"Mid",J710&lt;=1500,"High",TRUE,"no")</f>
        <v>High</v>
      </c>
      <c r="N710" s="6"/>
      <c r="O710" s="6" t="str">
        <f t="shared" si="19"/>
        <v>Alice</v>
      </c>
    </row>
    <row r="711" spans="1:15" x14ac:dyDescent="0.3">
      <c r="A711" s="10">
        <v>710</v>
      </c>
      <c r="B711" s="18">
        <v>45636</v>
      </c>
      <c r="C711" s="6" t="s">
        <v>729</v>
      </c>
      <c r="D711" s="6" t="s">
        <v>1</v>
      </c>
      <c r="E711" s="6" t="s">
        <v>19</v>
      </c>
      <c r="F711" s="6">
        <v>21</v>
      </c>
      <c r="G711" s="6" t="s">
        <v>27</v>
      </c>
      <c r="H711" s="6">
        <v>4</v>
      </c>
      <c r="I711" s="6">
        <v>213</v>
      </c>
      <c r="J711" s="11">
        <v>852</v>
      </c>
      <c r="M711" s="6" t="str" cm="1">
        <f t="array" ref="M711">_xlfn.IFS(J711&lt;=500,"Low",J711&gt;=1500,"Mid",J711&lt;=1500,"High",TRUE,"no")</f>
        <v>High</v>
      </c>
      <c r="N711" s="6"/>
      <c r="O711" s="6" t="str">
        <f t="shared" si="19"/>
        <v>Charlie</v>
      </c>
    </row>
    <row r="712" spans="1:15" x14ac:dyDescent="0.3">
      <c r="A712" s="10">
        <v>711</v>
      </c>
      <c r="B712" s="18">
        <v>45637</v>
      </c>
      <c r="C712" s="6" t="s">
        <v>730</v>
      </c>
      <c r="D712" s="6" t="s">
        <v>2</v>
      </c>
      <c r="E712" s="6" t="s">
        <v>14</v>
      </c>
      <c r="F712" s="6">
        <v>39</v>
      </c>
      <c r="G712" s="6" t="s">
        <v>20</v>
      </c>
      <c r="H712" s="6">
        <v>5</v>
      </c>
      <c r="I712" s="6">
        <v>128</v>
      </c>
      <c r="J712" s="11">
        <v>640</v>
      </c>
      <c r="M712" s="6" t="str" cm="1">
        <f t="array" ref="M712">_xlfn.IFS(J712&lt;=500,"Low",J712&gt;=1500,"Mid",J712&lt;=1500,"High",TRUE,"no")</f>
        <v>High</v>
      </c>
      <c r="N712" s="6"/>
      <c r="O712" s="6" t="str">
        <f t="shared" si="19"/>
        <v>Diana</v>
      </c>
    </row>
    <row r="713" spans="1:15" x14ac:dyDescent="0.3">
      <c r="A713" s="10">
        <v>712</v>
      </c>
      <c r="B713" s="18">
        <v>45638</v>
      </c>
      <c r="C713" s="6" t="s">
        <v>731</v>
      </c>
      <c r="D713" s="6" t="s">
        <v>2</v>
      </c>
      <c r="E713" s="6" t="s">
        <v>19</v>
      </c>
      <c r="F713" s="6">
        <v>24</v>
      </c>
      <c r="G713" s="6" t="s">
        <v>15</v>
      </c>
      <c r="H713" s="6">
        <v>4</v>
      </c>
      <c r="I713" s="6">
        <v>255</v>
      </c>
      <c r="J713" s="11">
        <v>1020</v>
      </c>
      <c r="M713" s="6" t="str" cm="1">
        <f t="array" ref="M713">_xlfn.IFS(J713&lt;=500,"Low",J713&gt;=1500,"Mid",J713&lt;=1500,"High",TRUE,"no")</f>
        <v>High</v>
      </c>
      <c r="N713" s="6"/>
      <c r="O713" s="6" t="str">
        <f t="shared" si="19"/>
        <v>Diana</v>
      </c>
    </row>
    <row r="714" spans="1:15" x14ac:dyDescent="0.3">
      <c r="A714" s="10">
        <v>713</v>
      </c>
      <c r="B714" s="18">
        <v>45639</v>
      </c>
      <c r="C714" s="6" t="s">
        <v>732</v>
      </c>
      <c r="D714" s="6" t="s">
        <v>4</v>
      </c>
      <c r="E714" s="6" t="s">
        <v>14</v>
      </c>
      <c r="F714" s="6">
        <v>45</v>
      </c>
      <c r="G714" s="6" t="s">
        <v>17</v>
      </c>
      <c r="H714" s="6">
        <v>2</v>
      </c>
      <c r="I714" s="6">
        <v>175</v>
      </c>
      <c r="J714" s="11">
        <v>350</v>
      </c>
      <c r="M714" s="6" t="str" cm="1">
        <f t="array" ref="M714">_xlfn.IFS(J714&lt;=500,"Low",J714&gt;=1500,"Mid",J714&lt;=1500,"High",TRUE,"no")</f>
        <v>Low</v>
      </c>
      <c r="N714" s="6"/>
      <c r="O714" s="6" t="str">
        <f t="shared" si="19"/>
        <v>Alice</v>
      </c>
    </row>
    <row r="715" spans="1:15" x14ac:dyDescent="0.3">
      <c r="A715" s="10">
        <v>714</v>
      </c>
      <c r="B715" s="18">
        <v>45640</v>
      </c>
      <c r="C715" s="6" t="s">
        <v>733</v>
      </c>
      <c r="D715" s="6" t="s">
        <v>2</v>
      </c>
      <c r="E715" s="6" t="s">
        <v>14</v>
      </c>
      <c r="F715" s="6">
        <v>35</v>
      </c>
      <c r="G715" s="6" t="s">
        <v>27</v>
      </c>
      <c r="H715" s="6">
        <v>1</v>
      </c>
      <c r="I715" s="6">
        <v>291</v>
      </c>
      <c r="J715" s="11">
        <v>291</v>
      </c>
      <c r="M715" s="6" t="str" cm="1">
        <f t="array" ref="M715">_xlfn.IFS(J715&lt;=500,"Low",J715&gt;=1500,"Mid",J715&lt;=1500,"High",TRUE,"no")</f>
        <v>Low</v>
      </c>
      <c r="N715" s="6"/>
      <c r="O715" s="6" t="str">
        <f t="shared" si="19"/>
        <v>Diana</v>
      </c>
    </row>
    <row r="716" spans="1:15" x14ac:dyDescent="0.3">
      <c r="A716" s="10">
        <v>715</v>
      </c>
      <c r="B716" s="18">
        <v>45641</v>
      </c>
      <c r="C716" s="6" t="s">
        <v>734</v>
      </c>
      <c r="D716" s="6" t="s">
        <v>3</v>
      </c>
      <c r="E716" s="6" t="s">
        <v>19</v>
      </c>
      <c r="F716" s="6">
        <v>36</v>
      </c>
      <c r="G716" s="6" t="s">
        <v>23</v>
      </c>
      <c r="H716" s="6">
        <v>5</v>
      </c>
      <c r="I716" s="6">
        <v>386</v>
      </c>
      <c r="J716" s="11">
        <v>1930</v>
      </c>
      <c r="M716" s="6" t="str" cm="1">
        <f t="array" ref="M716">_xlfn.IFS(J716&lt;=500,"Low",J716&gt;=1500,"Mid",J716&lt;=1500,"High",TRUE,"no")</f>
        <v>Mid</v>
      </c>
      <c r="N716" s="6"/>
      <c r="O716" s="6" t="str">
        <f t="shared" si="19"/>
        <v>Bob</v>
      </c>
    </row>
    <row r="717" spans="1:15" x14ac:dyDescent="0.3">
      <c r="A717" s="10">
        <v>716</v>
      </c>
      <c r="B717" s="18">
        <v>45642</v>
      </c>
      <c r="C717" s="6" t="s">
        <v>735</v>
      </c>
      <c r="D717" s="6" t="s">
        <v>4</v>
      </c>
      <c r="E717" s="6" t="s">
        <v>19</v>
      </c>
      <c r="F717" s="6">
        <v>40</v>
      </c>
      <c r="G717" s="6" t="s">
        <v>15</v>
      </c>
      <c r="H717" s="6">
        <v>3</v>
      </c>
      <c r="I717" s="6">
        <v>165</v>
      </c>
      <c r="J717" s="11">
        <v>495</v>
      </c>
      <c r="M717" s="6" t="str" cm="1">
        <f t="array" ref="M717">_xlfn.IFS(J717&lt;=500,"Low",J717&gt;=1500,"Mid",J717&lt;=1500,"High",TRUE,"no")</f>
        <v>Low</v>
      </c>
      <c r="N717" s="6"/>
      <c r="O717" s="6" t="str">
        <f t="shared" si="19"/>
        <v>Alice</v>
      </c>
    </row>
    <row r="718" spans="1:15" x14ac:dyDescent="0.3">
      <c r="A718" s="10">
        <v>717</v>
      </c>
      <c r="B718" s="18">
        <v>45643</v>
      </c>
      <c r="C718" s="6" t="s">
        <v>736</v>
      </c>
      <c r="D718" s="6" t="s">
        <v>4</v>
      </c>
      <c r="E718" s="6" t="s">
        <v>14</v>
      </c>
      <c r="F718" s="6">
        <v>41</v>
      </c>
      <c r="G718" s="6" t="s">
        <v>17</v>
      </c>
      <c r="H718" s="6">
        <v>3</v>
      </c>
      <c r="I718" s="6">
        <v>353</v>
      </c>
      <c r="J718" s="11">
        <v>1059</v>
      </c>
      <c r="M718" s="6" t="str" cm="1">
        <f t="array" ref="M718">_xlfn.IFS(J718&lt;=500,"Low",J718&gt;=1500,"Mid",J718&lt;=1500,"High",TRUE,"no")</f>
        <v>High</v>
      </c>
      <c r="N718" s="6"/>
      <c r="O718" s="6" t="str">
        <f t="shared" si="19"/>
        <v>Alice</v>
      </c>
    </row>
    <row r="719" spans="1:15" x14ac:dyDescent="0.3">
      <c r="A719" s="10">
        <v>718</v>
      </c>
      <c r="B719" s="18">
        <v>45644</v>
      </c>
      <c r="C719" s="6" t="s">
        <v>737</v>
      </c>
      <c r="D719" s="6" t="s">
        <v>3</v>
      </c>
      <c r="E719" s="6" t="s">
        <v>14</v>
      </c>
      <c r="F719" s="6">
        <v>27</v>
      </c>
      <c r="G719" s="6" t="s">
        <v>27</v>
      </c>
      <c r="H719" s="6">
        <v>1</v>
      </c>
      <c r="I719" s="6">
        <v>225</v>
      </c>
      <c r="J719" s="11">
        <v>225</v>
      </c>
      <c r="M719" s="6" t="str" cm="1">
        <f t="array" ref="M719">_xlfn.IFS(J719&lt;=500,"Low",J719&gt;=1500,"Mid",J719&lt;=1500,"High",TRUE,"no")</f>
        <v>Low</v>
      </c>
      <c r="N719" s="6"/>
      <c r="O719" s="6" t="str">
        <f t="shared" si="19"/>
        <v>Bob</v>
      </c>
    </row>
    <row r="720" spans="1:15" x14ac:dyDescent="0.3">
      <c r="A720" s="10">
        <v>719</v>
      </c>
      <c r="B720" s="18">
        <v>45645</v>
      </c>
      <c r="C720" s="6" t="s">
        <v>738</v>
      </c>
      <c r="D720" s="6" t="s">
        <v>2</v>
      </c>
      <c r="E720" s="6" t="s">
        <v>14</v>
      </c>
      <c r="F720" s="6">
        <v>50</v>
      </c>
      <c r="G720" s="6" t="s">
        <v>15</v>
      </c>
      <c r="H720" s="6">
        <v>5</v>
      </c>
      <c r="I720" s="6">
        <v>25</v>
      </c>
      <c r="J720" s="11">
        <v>125</v>
      </c>
      <c r="M720" s="6" t="str" cm="1">
        <f t="array" ref="M720">_xlfn.IFS(J720&lt;=500,"Low",J720&gt;=1500,"Mid",J720&lt;=1500,"High",TRUE,"no")</f>
        <v>Low</v>
      </c>
      <c r="N720" s="6"/>
      <c r="O720" s="6" t="str">
        <f t="shared" si="19"/>
        <v>Diana</v>
      </c>
    </row>
    <row r="721" spans="1:15" x14ac:dyDescent="0.3">
      <c r="A721" s="10">
        <v>720</v>
      </c>
      <c r="B721" s="18">
        <v>45646</v>
      </c>
      <c r="C721" s="6" t="s">
        <v>739</v>
      </c>
      <c r="D721" s="6" t="s">
        <v>2</v>
      </c>
      <c r="E721" s="6" t="s">
        <v>19</v>
      </c>
      <c r="F721" s="6">
        <v>18</v>
      </c>
      <c r="G721" s="6" t="s">
        <v>27</v>
      </c>
      <c r="H721" s="6">
        <v>3</v>
      </c>
      <c r="I721" s="6">
        <v>305</v>
      </c>
      <c r="J721" s="11">
        <v>915</v>
      </c>
      <c r="M721" s="6" t="str" cm="1">
        <f t="array" ref="M721">_xlfn.IFS(J721&lt;=500,"Low",J721&gt;=1500,"Mid",J721&lt;=1500,"High",TRUE,"no")</f>
        <v>High</v>
      </c>
      <c r="N721" s="6"/>
      <c r="O721" s="6" t="str">
        <f t="shared" si="19"/>
        <v>Diana</v>
      </c>
    </row>
    <row r="722" spans="1:15" x14ac:dyDescent="0.3">
      <c r="A722" s="10">
        <v>721</v>
      </c>
      <c r="B722" s="18">
        <v>45647</v>
      </c>
      <c r="C722" s="6" t="s">
        <v>740</v>
      </c>
      <c r="D722" s="6" t="s">
        <v>2</v>
      </c>
      <c r="E722" s="6" t="s">
        <v>14</v>
      </c>
      <c r="F722" s="6">
        <v>18</v>
      </c>
      <c r="G722" s="6" t="s">
        <v>15</v>
      </c>
      <c r="H722" s="6">
        <v>2</v>
      </c>
      <c r="I722" s="6">
        <v>218</v>
      </c>
      <c r="J722" s="11">
        <v>436</v>
      </c>
      <c r="M722" s="6" t="str" cm="1">
        <f t="array" ref="M722">_xlfn.IFS(J722&lt;=500,"Low",J722&gt;=1500,"Mid",J722&lt;=1500,"High",TRUE,"no")</f>
        <v>Low</v>
      </c>
      <c r="N722" s="6"/>
      <c r="O722" s="6" t="str">
        <f t="shared" si="19"/>
        <v>Diana</v>
      </c>
    </row>
    <row r="723" spans="1:15" x14ac:dyDescent="0.3">
      <c r="A723" s="10">
        <v>722</v>
      </c>
      <c r="B723" s="18">
        <v>45648</v>
      </c>
      <c r="C723" s="6" t="s">
        <v>741</v>
      </c>
      <c r="D723" s="6" t="s">
        <v>4</v>
      </c>
      <c r="E723" s="6" t="s">
        <v>14</v>
      </c>
      <c r="F723" s="6">
        <v>27</v>
      </c>
      <c r="G723" s="6" t="s">
        <v>27</v>
      </c>
      <c r="H723" s="6">
        <v>2</v>
      </c>
      <c r="I723" s="6">
        <v>117</v>
      </c>
      <c r="J723" s="11">
        <v>234</v>
      </c>
      <c r="M723" s="6" t="str" cm="1">
        <f t="array" ref="M723">_xlfn.IFS(J723&lt;=500,"Low",J723&gt;=1500,"Mid",J723&lt;=1500,"High",TRUE,"no")</f>
        <v>Low</v>
      </c>
      <c r="N723" s="6"/>
      <c r="O723" s="6" t="str">
        <f t="shared" si="19"/>
        <v>Alice</v>
      </c>
    </row>
    <row r="724" spans="1:15" x14ac:dyDescent="0.3">
      <c r="A724" s="10">
        <v>723</v>
      </c>
      <c r="B724" s="18">
        <v>45649</v>
      </c>
      <c r="C724" s="6" t="s">
        <v>742</v>
      </c>
      <c r="D724" s="6" t="s">
        <v>4</v>
      </c>
      <c r="E724" s="6" t="s">
        <v>14</v>
      </c>
      <c r="F724" s="6">
        <v>41</v>
      </c>
      <c r="G724" s="6" t="s">
        <v>23</v>
      </c>
      <c r="H724" s="6">
        <v>3</v>
      </c>
      <c r="I724" s="6">
        <v>343</v>
      </c>
      <c r="J724" s="11">
        <v>1029</v>
      </c>
      <c r="M724" s="6" t="str" cm="1">
        <f t="array" ref="M724">_xlfn.IFS(J724&lt;=500,"Low",J724&gt;=1500,"Mid",J724&lt;=1500,"High",TRUE,"no")</f>
        <v>High</v>
      </c>
      <c r="N724" s="6"/>
      <c r="O724" s="6" t="str">
        <f t="shared" si="19"/>
        <v>Alice</v>
      </c>
    </row>
    <row r="725" spans="1:15" x14ac:dyDescent="0.3">
      <c r="A725" s="10">
        <v>724</v>
      </c>
      <c r="B725" s="18">
        <v>45650</v>
      </c>
      <c r="C725" s="6" t="s">
        <v>743</v>
      </c>
      <c r="D725" s="6" t="s">
        <v>2</v>
      </c>
      <c r="E725" s="6" t="s">
        <v>19</v>
      </c>
      <c r="F725" s="6">
        <v>30</v>
      </c>
      <c r="G725" s="6" t="s">
        <v>23</v>
      </c>
      <c r="H725" s="6">
        <v>1</v>
      </c>
      <c r="I725" s="6">
        <v>99</v>
      </c>
      <c r="J725" s="11">
        <v>99</v>
      </c>
      <c r="M725" s="6" t="str" cm="1">
        <f t="array" ref="M725">_xlfn.IFS(J725&lt;=500,"Low",J725&gt;=1500,"Mid",J725&lt;=1500,"High",TRUE,"no")</f>
        <v>Low</v>
      </c>
      <c r="N725" s="6"/>
      <c r="O725" s="6" t="str">
        <f t="shared" si="19"/>
        <v>Diana</v>
      </c>
    </row>
    <row r="726" spans="1:15" x14ac:dyDescent="0.3">
      <c r="A726" s="10">
        <v>725</v>
      </c>
      <c r="B726" s="18">
        <v>45651</v>
      </c>
      <c r="C726" s="6" t="s">
        <v>744</v>
      </c>
      <c r="D726" s="6" t="s">
        <v>1</v>
      </c>
      <c r="E726" s="6" t="s">
        <v>19</v>
      </c>
      <c r="F726" s="6">
        <v>26</v>
      </c>
      <c r="G726" s="6" t="s">
        <v>15</v>
      </c>
      <c r="H726" s="6">
        <v>4</v>
      </c>
      <c r="I726" s="6">
        <v>454</v>
      </c>
      <c r="J726" s="11">
        <v>1816</v>
      </c>
      <c r="M726" s="6" t="str" cm="1">
        <f t="array" ref="M726">_xlfn.IFS(J726&lt;=500,"Low",J726&gt;=1500,"Mid",J726&lt;=1500,"High",TRUE,"no")</f>
        <v>Mid</v>
      </c>
      <c r="N726" s="6"/>
      <c r="O726" s="6" t="str">
        <f t="shared" si="19"/>
        <v>Charlie</v>
      </c>
    </row>
    <row r="727" spans="1:15" x14ac:dyDescent="0.3">
      <c r="A727" s="10">
        <v>726</v>
      </c>
      <c r="B727" s="18">
        <v>45652</v>
      </c>
      <c r="C727" s="6" t="s">
        <v>745</v>
      </c>
      <c r="D727" s="6" t="s">
        <v>2</v>
      </c>
      <c r="E727" s="6" t="s">
        <v>14</v>
      </c>
      <c r="F727" s="6">
        <v>38</v>
      </c>
      <c r="G727" s="6" t="s">
        <v>15</v>
      </c>
      <c r="H727" s="6">
        <v>2</v>
      </c>
      <c r="I727" s="6">
        <v>360</v>
      </c>
      <c r="J727" s="11">
        <v>720</v>
      </c>
      <c r="M727" s="6" t="str" cm="1">
        <f t="array" ref="M727">_xlfn.IFS(J727&lt;=500,"Low",J727&gt;=1500,"Mid",J727&lt;=1500,"High",TRUE,"no")</f>
        <v>High</v>
      </c>
      <c r="N727" s="6"/>
      <c r="O727" s="6" t="str">
        <f t="shared" si="19"/>
        <v>Diana</v>
      </c>
    </row>
    <row r="728" spans="1:15" x14ac:dyDescent="0.3">
      <c r="A728" s="10">
        <v>727</v>
      </c>
      <c r="B728" s="18">
        <v>45653</v>
      </c>
      <c r="C728" s="6" t="s">
        <v>746</v>
      </c>
      <c r="D728" s="6" t="s">
        <v>3</v>
      </c>
      <c r="E728" s="6" t="s">
        <v>19</v>
      </c>
      <c r="F728" s="6">
        <v>45</v>
      </c>
      <c r="G728" s="6" t="s">
        <v>20</v>
      </c>
      <c r="H728" s="6">
        <v>1</v>
      </c>
      <c r="I728" s="6">
        <v>496</v>
      </c>
      <c r="J728" s="11">
        <v>496</v>
      </c>
      <c r="M728" s="6" t="str" cm="1">
        <f t="array" ref="M728">_xlfn.IFS(J728&lt;=500,"Low",J728&gt;=1500,"Mid",J728&lt;=1500,"High",TRUE,"no")</f>
        <v>Low</v>
      </c>
      <c r="N728" s="6"/>
      <c r="O728" s="6" t="str">
        <f t="shared" si="19"/>
        <v>Bob</v>
      </c>
    </row>
    <row r="729" spans="1:15" x14ac:dyDescent="0.3">
      <c r="A729" s="10">
        <v>728</v>
      </c>
      <c r="B729" s="18">
        <v>45654</v>
      </c>
      <c r="C729" s="6" t="s">
        <v>747</v>
      </c>
      <c r="D729" s="6" t="s">
        <v>4</v>
      </c>
      <c r="E729" s="6" t="s">
        <v>14</v>
      </c>
      <c r="F729" s="6">
        <v>20</v>
      </c>
      <c r="G729" s="6" t="s">
        <v>15</v>
      </c>
      <c r="H729" s="6">
        <v>5</v>
      </c>
      <c r="I729" s="6">
        <v>28</v>
      </c>
      <c r="J729" s="11">
        <v>140</v>
      </c>
      <c r="M729" s="6" t="str" cm="1">
        <f t="array" ref="M729">_xlfn.IFS(J729&lt;=500,"Low",J729&gt;=1500,"Mid",J729&lt;=1500,"High",TRUE,"no")</f>
        <v>Low</v>
      </c>
      <c r="N729" s="6"/>
      <c r="O729" s="6" t="str">
        <f t="shared" si="19"/>
        <v>Alice</v>
      </c>
    </row>
    <row r="730" spans="1:15" x14ac:dyDescent="0.3">
      <c r="A730" s="10">
        <v>729</v>
      </c>
      <c r="B730" s="18">
        <v>45655</v>
      </c>
      <c r="C730" s="6" t="s">
        <v>748</v>
      </c>
      <c r="D730" s="6" t="s">
        <v>3</v>
      </c>
      <c r="E730" s="6" t="s">
        <v>14</v>
      </c>
      <c r="F730" s="6">
        <v>19</v>
      </c>
      <c r="G730" s="6" t="s">
        <v>23</v>
      </c>
      <c r="H730" s="6">
        <v>5</v>
      </c>
      <c r="I730" s="6">
        <v>235</v>
      </c>
      <c r="J730" s="11">
        <v>1175</v>
      </c>
      <c r="M730" s="6" t="str" cm="1">
        <f t="array" ref="M730">_xlfn.IFS(J730&lt;=500,"Low",J730&gt;=1500,"Mid",J730&lt;=1500,"High",TRUE,"no")</f>
        <v>High</v>
      </c>
      <c r="N730" s="6"/>
      <c r="O730" s="6" t="str">
        <f t="shared" si="19"/>
        <v>Bob</v>
      </c>
    </row>
    <row r="731" spans="1:15" x14ac:dyDescent="0.3">
      <c r="A731" s="10">
        <v>730</v>
      </c>
      <c r="B731" s="18">
        <v>45656</v>
      </c>
      <c r="C731" s="6" t="s">
        <v>749</v>
      </c>
      <c r="D731" s="6" t="s">
        <v>3</v>
      </c>
      <c r="E731" s="6" t="s">
        <v>19</v>
      </c>
      <c r="F731" s="6">
        <v>35</v>
      </c>
      <c r="G731" s="6" t="s">
        <v>23</v>
      </c>
      <c r="H731" s="6">
        <v>5</v>
      </c>
      <c r="I731" s="6">
        <v>431</v>
      </c>
      <c r="J731" s="11">
        <v>2155</v>
      </c>
      <c r="M731" s="6" t="str" cm="1">
        <f t="array" ref="M731">_xlfn.IFS(J731&lt;=500,"Low",J731&gt;=1500,"Mid",J731&lt;=1500,"High",TRUE,"no")</f>
        <v>Mid</v>
      </c>
      <c r="N731" s="6"/>
      <c r="O731" s="6" t="str">
        <f t="shared" si="19"/>
        <v>Bob</v>
      </c>
    </row>
    <row r="732" spans="1:15" x14ac:dyDescent="0.3">
      <c r="A732" s="10">
        <v>731</v>
      </c>
      <c r="B732" s="18">
        <v>45657</v>
      </c>
      <c r="C732" s="6" t="s">
        <v>750</v>
      </c>
      <c r="D732" s="6" t="s">
        <v>4</v>
      </c>
      <c r="E732" s="6" t="s">
        <v>19</v>
      </c>
      <c r="F732" s="6">
        <v>49</v>
      </c>
      <c r="G732" s="6" t="s">
        <v>15</v>
      </c>
      <c r="H732" s="6">
        <v>1</v>
      </c>
      <c r="I732" s="6">
        <v>317</v>
      </c>
      <c r="J732" s="11">
        <v>317</v>
      </c>
      <c r="M732" s="6" t="str" cm="1">
        <f t="array" ref="M732">_xlfn.IFS(J732&lt;=500,"Low",J732&gt;=1500,"Mid",J732&lt;=1500,"High",TRUE,"no")</f>
        <v>Low</v>
      </c>
      <c r="N732" s="6"/>
      <c r="O732" s="6" t="str">
        <f t="shared" si="19"/>
        <v>Alice</v>
      </c>
    </row>
    <row r="733" spans="1:15" x14ac:dyDescent="0.3">
      <c r="A733" s="10">
        <v>732</v>
      </c>
      <c r="B733" s="18">
        <v>45658</v>
      </c>
      <c r="C733" s="6" t="s">
        <v>751</v>
      </c>
      <c r="D733" s="6" t="s">
        <v>1</v>
      </c>
      <c r="E733" s="6" t="s">
        <v>19</v>
      </c>
      <c r="F733" s="6">
        <v>50</v>
      </c>
      <c r="G733" s="6" t="s">
        <v>20</v>
      </c>
      <c r="H733" s="6">
        <v>2</v>
      </c>
      <c r="I733" s="6">
        <v>477</v>
      </c>
      <c r="J733" s="11">
        <v>954</v>
      </c>
      <c r="M733" s="6" t="str" cm="1">
        <f t="array" ref="M733">_xlfn.IFS(J733&lt;=500,"Low",J733&gt;=1500,"Mid",J733&lt;=1500,"High",TRUE,"no")</f>
        <v>High</v>
      </c>
      <c r="N733" s="6"/>
      <c r="O733" s="6" t="str">
        <f t="shared" si="19"/>
        <v>Charlie</v>
      </c>
    </row>
    <row r="734" spans="1:15" x14ac:dyDescent="0.3">
      <c r="A734" s="10">
        <v>733</v>
      </c>
      <c r="B734" s="18">
        <v>45659</v>
      </c>
      <c r="C734" s="6" t="s">
        <v>752</v>
      </c>
      <c r="D734" s="6" t="s">
        <v>2</v>
      </c>
      <c r="E734" s="6" t="s">
        <v>19</v>
      </c>
      <c r="F734" s="6">
        <v>53</v>
      </c>
      <c r="G734" s="6" t="s">
        <v>15</v>
      </c>
      <c r="H734" s="6">
        <v>4</v>
      </c>
      <c r="I734" s="6">
        <v>151</v>
      </c>
      <c r="J734" s="11">
        <v>604</v>
      </c>
      <c r="M734" s="6" t="str" cm="1">
        <f t="array" ref="M734">_xlfn.IFS(J734&lt;=500,"Low",J734&gt;=1500,"Mid",J734&lt;=1500,"High",TRUE,"no")</f>
        <v>High</v>
      </c>
      <c r="N734" s="6"/>
      <c r="O734" s="6" t="str">
        <f t="shared" si="19"/>
        <v>Diana</v>
      </c>
    </row>
    <row r="735" spans="1:15" x14ac:dyDescent="0.3">
      <c r="A735" s="10">
        <v>734</v>
      </c>
      <c r="B735" s="18">
        <v>45660</v>
      </c>
      <c r="C735" s="6" t="s">
        <v>753</v>
      </c>
      <c r="D735" s="6" t="s">
        <v>3</v>
      </c>
      <c r="E735" s="6" t="s">
        <v>19</v>
      </c>
      <c r="F735" s="6">
        <v>46</v>
      </c>
      <c r="G735" s="6" t="s">
        <v>20</v>
      </c>
      <c r="H735" s="6">
        <v>3</v>
      </c>
      <c r="I735" s="6">
        <v>94</v>
      </c>
      <c r="J735" s="11">
        <v>282</v>
      </c>
      <c r="M735" s="6" t="str" cm="1">
        <f t="array" ref="M735">_xlfn.IFS(J735&lt;=500,"Low",J735&gt;=1500,"Mid",J735&lt;=1500,"High",TRUE,"no")</f>
        <v>Low</v>
      </c>
      <c r="N735" s="6"/>
      <c r="O735" s="6" t="str">
        <f t="shared" si="19"/>
        <v>Bob</v>
      </c>
    </row>
    <row r="736" spans="1:15" x14ac:dyDescent="0.3">
      <c r="A736" s="10">
        <v>735</v>
      </c>
      <c r="B736" s="18">
        <v>45661</v>
      </c>
      <c r="C736" s="6" t="s">
        <v>754</v>
      </c>
      <c r="D736" s="6" t="s">
        <v>4</v>
      </c>
      <c r="E736" s="6" t="s">
        <v>14</v>
      </c>
      <c r="F736" s="6">
        <v>58</v>
      </c>
      <c r="G736" s="6" t="s">
        <v>27</v>
      </c>
      <c r="H736" s="6">
        <v>5</v>
      </c>
      <c r="I736" s="6">
        <v>64</v>
      </c>
      <c r="J736" s="11">
        <v>320</v>
      </c>
      <c r="M736" s="6" t="str" cm="1">
        <f t="array" ref="M736">_xlfn.IFS(J736&lt;=500,"Low",J736&gt;=1500,"Mid",J736&lt;=1500,"High",TRUE,"no")</f>
        <v>Low</v>
      </c>
      <c r="N736" s="6"/>
      <c r="O736" s="6" t="str">
        <f t="shared" si="19"/>
        <v>Alice</v>
      </c>
    </row>
    <row r="737" spans="1:15" x14ac:dyDescent="0.3">
      <c r="A737" s="10">
        <v>736</v>
      </c>
      <c r="B737" s="18">
        <v>45662</v>
      </c>
      <c r="C737" s="6" t="s">
        <v>755</v>
      </c>
      <c r="D737" s="6" t="s">
        <v>3</v>
      </c>
      <c r="E737" s="6" t="s">
        <v>19</v>
      </c>
      <c r="F737" s="6">
        <v>49</v>
      </c>
      <c r="G737" s="6" t="s">
        <v>20</v>
      </c>
      <c r="H737" s="6">
        <v>3</v>
      </c>
      <c r="I737" s="6">
        <v>61</v>
      </c>
      <c r="J737" s="11">
        <v>183</v>
      </c>
      <c r="M737" s="6" t="str" cm="1">
        <f t="array" ref="M737">_xlfn.IFS(J737&lt;=500,"Low",J737&gt;=1500,"Mid",J737&lt;=1500,"High",TRUE,"no")</f>
        <v>Low</v>
      </c>
      <c r="N737" s="6"/>
      <c r="O737" s="6" t="str">
        <f t="shared" si="19"/>
        <v>Bob</v>
      </c>
    </row>
    <row r="738" spans="1:15" x14ac:dyDescent="0.3">
      <c r="A738" s="10">
        <v>737</v>
      </c>
      <c r="B738" s="18">
        <v>45663</v>
      </c>
      <c r="C738" s="6" t="s">
        <v>756</v>
      </c>
      <c r="D738" s="6" t="s">
        <v>2</v>
      </c>
      <c r="E738" s="6" t="s">
        <v>14</v>
      </c>
      <c r="F738" s="6">
        <v>40</v>
      </c>
      <c r="G738" s="6" t="s">
        <v>27</v>
      </c>
      <c r="H738" s="6">
        <v>5</v>
      </c>
      <c r="I738" s="6">
        <v>456</v>
      </c>
      <c r="J738" s="11">
        <v>2280</v>
      </c>
      <c r="M738" s="6" t="str" cm="1">
        <f t="array" ref="M738">_xlfn.IFS(J738&lt;=500,"Low",J738&gt;=1500,"Mid",J738&lt;=1500,"High",TRUE,"no")</f>
        <v>Mid</v>
      </c>
      <c r="N738" s="6"/>
      <c r="O738" s="6" t="str">
        <f t="shared" si="19"/>
        <v>Diana</v>
      </c>
    </row>
    <row r="739" spans="1:15" x14ac:dyDescent="0.3">
      <c r="A739" s="10">
        <v>738</v>
      </c>
      <c r="B739" s="18">
        <v>45664</v>
      </c>
      <c r="C739" s="6" t="s">
        <v>757</v>
      </c>
      <c r="D739" s="6" t="s">
        <v>1</v>
      </c>
      <c r="E739" s="6" t="s">
        <v>14</v>
      </c>
      <c r="F739" s="6">
        <v>56</v>
      </c>
      <c r="G739" s="6" t="s">
        <v>20</v>
      </c>
      <c r="H739" s="6">
        <v>3</v>
      </c>
      <c r="I739" s="6">
        <v>328</v>
      </c>
      <c r="J739" s="11">
        <v>984</v>
      </c>
      <c r="M739" s="6" t="str" cm="1">
        <f t="array" ref="M739">_xlfn.IFS(J739&lt;=500,"Low",J739&gt;=1500,"Mid",J739&lt;=1500,"High",TRUE,"no")</f>
        <v>High</v>
      </c>
      <c r="N739" s="6"/>
      <c r="O739" s="6" t="str">
        <f t="shared" si="19"/>
        <v>Charlie</v>
      </c>
    </row>
    <row r="740" spans="1:15" x14ac:dyDescent="0.3">
      <c r="A740" s="10">
        <v>739</v>
      </c>
      <c r="B740" s="18">
        <v>45665</v>
      </c>
      <c r="C740" s="6" t="s">
        <v>758</v>
      </c>
      <c r="D740" s="6" t="s">
        <v>1</v>
      </c>
      <c r="E740" s="6" t="s">
        <v>14</v>
      </c>
      <c r="F740" s="6">
        <v>23</v>
      </c>
      <c r="G740" s="6" t="s">
        <v>27</v>
      </c>
      <c r="H740" s="6">
        <v>5</v>
      </c>
      <c r="I740" s="6">
        <v>83</v>
      </c>
      <c r="J740" s="11">
        <v>415</v>
      </c>
      <c r="M740" s="6" t="str" cm="1">
        <f t="array" ref="M740">_xlfn.IFS(J740&lt;=500,"Low",J740&gt;=1500,"Mid",J740&lt;=1500,"High",TRUE,"no")</f>
        <v>Low</v>
      </c>
      <c r="N740" s="6"/>
      <c r="O740" s="6" t="str">
        <f t="shared" si="19"/>
        <v>Charlie</v>
      </c>
    </row>
    <row r="741" spans="1:15" x14ac:dyDescent="0.3">
      <c r="A741" s="10">
        <v>740</v>
      </c>
      <c r="B741" s="18">
        <v>45666</v>
      </c>
      <c r="C741" s="6" t="s">
        <v>759</v>
      </c>
      <c r="D741" s="6" t="s">
        <v>1</v>
      </c>
      <c r="E741" s="6" t="s">
        <v>19</v>
      </c>
      <c r="F741" s="6">
        <v>58</v>
      </c>
      <c r="G741" s="6" t="s">
        <v>27</v>
      </c>
      <c r="H741" s="6">
        <v>4</v>
      </c>
      <c r="I741" s="6">
        <v>490</v>
      </c>
      <c r="J741" s="11">
        <v>1960</v>
      </c>
      <c r="M741" s="6" t="str" cm="1">
        <f t="array" ref="M741">_xlfn.IFS(J741&lt;=500,"Low",J741&gt;=1500,"Mid",J741&lt;=1500,"High",TRUE,"no")</f>
        <v>Mid</v>
      </c>
      <c r="N741" s="6"/>
      <c r="O741" s="6" t="str">
        <f t="shared" si="19"/>
        <v>Charlie</v>
      </c>
    </row>
    <row r="742" spans="1:15" x14ac:dyDescent="0.3">
      <c r="A742" s="10">
        <v>741</v>
      </c>
      <c r="B742" s="18">
        <v>45667</v>
      </c>
      <c r="C742" s="6" t="s">
        <v>760</v>
      </c>
      <c r="D742" s="6" t="s">
        <v>4</v>
      </c>
      <c r="E742" s="6" t="s">
        <v>14</v>
      </c>
      <c r="F742" s="6">
        <v>47</v>
      </c>
      <c r="G742" s="6" t="s">
        <v>23</v>
      </c>
      <c r="H742" s="6">
        <v>3</v>
      </c>
      <c r="I742" s="6">
        <v>55</v>
      </c>
      <c r="J742" s="11">
        <v>165</v>
      </c>
      <c r="M742" s="6" t="str" cm="1">
        <f t="array" ref="M742">_xlfn.IFS(J742&lt;=500,"Low",J742&gt;=1500,"Mid",J742&lt;=1500,"High",TRUE,"no")</f>
        <v>Low</v>
      </c>
      <c r="N742" s="6"/>
      <c r="O742" s="6" t="str">
        <f t="shared" si="19"/>
        <v>Alice</v>
      </c>
    </row>
    <row r="743" spans="1:15" x14ac:dyDescent="0.3">
      <c r="A743" s="10">
        <v>742</v>
      </c>
      <c r="B743" s="18">
        <v>45668</v>
      </c>
      <c r="C743" s="6" t="s">
        <v>761</v>
      </c>
      <c r="D743" s="6" t="s">
        <v>4</v>
      </c>
      <c r="E743" s="6" t="s">
        <v>14</v>
      </c>
      <c r="F743" s="6">
        <v>27</v>
      </c>
      <c r="G743" s="6" t="s">
        <v>17</v>
      </c>
      <c r="H743" s="6">
        <v>2</v>
      </c>
      <c r="I743" s="6">
        <v>326</v>
      </c>
      <c r="J743" s="11">
        <v>652</v>
      </c>
      <c r="M743" s="6" t="str" cm="1">
        <f t="array" ref="M743">_xlfn.IFS(J743&lt;=500,"Low",J743&gt;=1500,"Mid",J743&lt;=1500,"High",TRUE,"no")</f>
        <v>High</v>
      </c>
      <c r="N743" s="6"/>
      <c r="O743" s="6" t="str">
        <f t="shared" si="19"/>
        <v>Alice</v>
      </c>
    </row>
    <row r="744" spans="1:15" x14ac:dyDescent="0.3">
      <c r="A744" s="10">
        <v>743</v>
      </c>
      <c r="B744" s="18">
        <v>45669</v>
      </c>
      <c r="C744" s="6" t="s">
        <v>762</v>
      </c>
      <c r="D744" s="6" t="s">
        <v>1</v>
      </c>
      <c r="E744" s="6" t="s">
        <v>19</v>
      </c>
      <c r="F744" s="6">
        <v>52</v>
      </c>
      <c r="G744" s="6" t="s">
        <v>20</v>
      </c>
      <c r="H744" s="6">
        <v>2</v>
      </c>
      <c r="I744" s="6">
        <v>386</v>
      </c>
      <c r="J744" s="11">
        <v>772</v>
      </c>
      <c r="M744" s="6" t="str" cm="1">
        <f t="array" ref="M744">_xlfn.IFS(J744&lt;=500,"Low",J744&gt;=1500,"Mid",J744&lt;=1500,"High",TRUE,"no")</f>
        <v>High</v>
      </c>
      <c r="N744" s="6"/>
      <c r="O744" s="6" t="str">
        <f t="shared" si="19"/>
        <v>Charlie</v>
      </c>
    </row>
    <row r="745" spans="1:15" x14ac:dyDescent="0.3">
      <c r="A745" s="10">
        <v>744</v>
      </c>
      <c r="B745" s="18">
        <v>45670</v>
      </c>
      <c r="C745" s="6" t="s">
        <v>763</v>
      </c>
      <c r="D745" s="6" t="s">
        <v>2</v>
      </c>
      <c r="E745" s="6" t="s">
        <v>14</v>
      </c>
      <c r="F745" s="6">
        <v>32</v>
      </c>
      <c r="G745" s="6" t="s">
        <v>23</v>
      </c>
      <c r="H745" s="6">
        <v>2</v>
      </c>
      <c r="I745" s="6">
        <v>388</v>
      </c>
      <c r="J745" s="11">
        <v>776</v>
      </c>
      <c r="M745" s="6" t="str" cm="1">
        <f t="array" ref="M745">_xlfn.IFS(J745&lt;=500,"Low",J745&gt;=1500,"Mid",J745&lt;=1500,"High",TRUE,"no")</f>
        <v>High</v>
      </c>
      <c r="N745" s="6"/>
      <c r="O745" s="6" t="str">
        <f t="shared" si="19"/>
        <v>Diana</v>
      </c>
    </row>
    <row r="746" spans="1:15" x14ac:dyDescent="0.3">
      <c r="A746" s="10">
        <v>745</v>
      </c>
      <c r="B746" s="18">
        <v>45671</v>
      </c>
      <c r="C746" s="6" t="s">
        <v>764</v>
      </c>
      <c r="D746" s="6" t="s">
        <v>2</v>
      </c>
      <c r="E746" s="6" t="s">
        <v>19</v>
      </c>
      <c r="F746" s="6">
        <v>57</v>
      </c>
      <c r="G746" s="6" t="s">
        <v>23</v>
      </c>
      <c r="H746" s="6">
        <v>1</v>
      </c>
      <c r="I746" s="6">
        <v>165</v>
      </c>
      <c r="J746" s="11">
        <v>165</v>
      </c>
      <c r="M746" s="6" t="str" cm="1">
        <f t="array" ref="M746">_xlfn.IFS(J746&lt;=500,"Low",J746&gt;=1500,"Mid",J746&lt;=1500,"High",TRUE,"no")</f>
        <v>Low</v>
      </c>
      <c r="N746" s="6"/>
      <c r="O746" s="6" t="str">
        <f t="shared" si="19"/>
        <v>Diana</v>
      </c>
    </row>
    <row r="747" spans="1:15" x14ac:dyDescent="0.3">
      <c r="A747" s="10">
        <v>746</v>
      </c>
      <c r="B747" s="18">
        <v>45672</v>
      </c>
      <c r="C747" s="6" t="s">
        <v>765</v>
      </c>
      <c r="D747" s="6" t="s">
        <v>4</v>
      </c>
      <c r="E747" s="6" t="s">
        <v>19</v>
      </c>
      <c r="F747" s="6">
        <v>47</v>
      </c>
      <c r="G747" s="6" t="s">
        <v>17</v>
      </c>
      <c r="H747" s="6">
        <v>5</v>
      </c>
      <c r="I747" s="6">
        <v>115</v>
      </c>
      <c r="J747" s="11">
        <v>575</v>
      </c>
      <c r="M747" s="6" t="str" cm="1">
        <f t="array" ref="M747">_xlfn.IFS(J747&lt;=500,"Low",J747&gt;=1500,"Mid",J747&lt;=1500,"High",TRUE,"no")</f>
        <v>High</v>
      </c>
      <c r="N747" s="6"/>
      <c r="O747" s="6" t="str">
        <f t="shared" si="19"/>
        <v>Alice</v>
      </c>
    </row>
    <row r="748" spans="1:15" x14ac:dyDescent="0.3">
      <c r="A748" s="10">
        <v>747</v>
      </c>
      <c r="B748" s="18">
        <v>45673</v>
      </c>
      <c r="C748" s="6" t="s">
        <v>766</v>
      </c>
      <c r="D748" s="6" t="s">
        <v>1</v>
      </c>
      <c r="E748" s="6" t="s">
        <v>19</v>
      </c>
      <c r="F748" s="6">
        <v>60</v>
      </c>
      <c r="G748" s="6" t="s">
        <v>17</v>
      </c>
      <c r="H748" s="6">
        <v>3</v>
      </c>
      <c r="I748" s="6">
        <v>249</v>
      </c>
      <c r="J748" s="11">
        <v>747</v>
      </c>
      <c r="M748" s="6" t="str" cm="1">
        <f t="array" ref="M748">_xlfn.IFS(J748&lt;=500,"Low",J748&gt;=1500,"Mid",J748&lt;=1500,"High",TRUE,"no")</f>
        <v>High</v>
      </c>
      <c r="N748" s="6"/>
      <c r="O748" s="6" t="str">
        <f t="shared" si="19"/>
        <v>Charlie</v>
      </c>
    </row>
    <row r="749" spans="1:15" x14ac:dyDescent="0.3">
      <c r="A749" s="10">
        <v>748</v>
      </c>
      <c r="B749" s="18">
        <v>45674</v>
      </c>
      <c r="C749" s="6" t="s">
        <v>767</v>
      </c>
      <c r="D749" s="6" t="s">
        <v>2</v>
      </c>
      <c r="E749" s="6" t="s">
        <v>14</v>
      </c>
      <c r="F749" s="6">
        <v>27</v>
      </c>
      <c r="G749" s="6" t="s">
        <v>23</v>
      </c>
      <c r="H749" s="6">
        <v>3</v>
      </c>
      <c r="I749" s="6">
        <v>170</v>
      </c>
      <c r="J749" s="11">
        <v>510</v>
      </c>
      <c r="M749" s="6" t="str" cm="1">
        <f t="array" ref="M749">_xlfn.IFS(J749&lt;=500,"Low",J749&gt;=1500,"Mid",J749&lt;=1500,"High",TRUE,"no")</f>
        <v>High</v>
      </c>
      <c r="N749" s="6"/>
      <c r="O749" s="6" t="str">
        <f t="shared" si="19"/>
        <v>Diana</v>
      </c>
    </row>
    <row r="750" spans="1:15" x14ac:dyDescent="0.3">
      <c r="A750" s="10">
        <v>749</v>
      </c>
      <c r="B750" s="18">
        <v>45675</v>
      </c>
      <c r="C750" s="6" t="s">
        <v>768</v>
      </c>
      <c r="D750" s="6" t="s">
        <v>2</v>
      </c>
      <c r="E750" s="6" t="s">
        <v>14</v>
      </c>
      <c r="F750" s="6">
        <v>45</v>
      </c>
      <c r="G750" s="6" t="s">
        <v>20</v>
      </c>
      <c r="H750" s="6">
        <v>1</v>
      </c>
      <c r="I750" s="6">
        <v>408</v>
      </c>
      <c r="J750" s="11">
        <v>408</v>
      </c>
      <c r="M750" s="6" t="str" cm="1">
        <f t="array" ref="M750">_xlfn.IFS(J750&lt;=500,"Low",J750&gt;=1500,"Mid",J750&lt;=1500,"High",TRUE,"no")</f>
        <v>Low</v>
      </c>
      <c r="N750" s="6"/>
      <c r="O750" s="6" t="str">
        <f t="shared" si="19"/>
        <v>Diana</v>
      </c>
    </row>
    <row r="751" spans="1:15" x14ac:dyDescent="0.3">
      <c r="A751" s="10">
        <v>750</v>
      </c>
      <c r="B751" s="18">
        <v>45676</v>
      </c>
      <c r="C751" s="6" t="s">
        <v>769</v>
      </c>
      <c r="D751" s="6" t="s">
        <v>2</v>
      </c>
      <c r="E751" s="6" t="s">
        <v>14</v>
      </c>
      <c r="F751" s="6">
        <v>29</v>
      </c>
      <c r="G751" s="6" t="s">
        <v>27</v>
      </c>
      <c r="H751" s="6">
        <v>4</v>
      </c>
      <c r="I751" s="6">
        <v>441</v>
      </c>
      <c r="J751" s="11">
        <v>1764</v>
      </c>
      <c r="M751" s="6" t="str" cm="1">
        <f t="array" ref="M751">_xlfn.IFS(J751&lt;=500,"Low",J751&gt;=1500,"Mid",J751&lt;=1500,"High",TRUE,"no")</f>
        <v>Mid</v>
      </c>
      <c r="N751" s="6"/>
      <c r="O751" s="6" t="str">
        <f t="shared" si="19"/>
        <v>Diana</v>
      </c>
    </row>
    <row r="752" spans="1:15" x14ac:dyDescent="0.3">
      <c r="A752" s="10">
        <v>751</v>
      </c>
      <c r="B752" s="18">
        <v>45677</v>
      </c>
      <c r="C752" s="6" t="s">
        <v>770</v>
      </c>
      <c r="D752" s="6" t="s">
        <v>4</v>
      </c>
      <c r="E752" s="6" t="s">
        <v>14</v>
      </c>
      <c r="F752" s="6">
        <v>39</v>
      </c>
      <c r="G752" s="6" t="s">
        <v>23</v>
      </c>
      <c r="H752" s="6">
        <v>4</v>
      </c>
      <c r="I752" s="6">
        <v>213</v>
      </c>
      <c r="J752" s="11">
        <v>852</v>
      </c>
      <c r="M752" s="6" t="str" cm="1">
        <f t="array" ref="M752">_xlfn.IFS(J752&lt;=500,"Low",J752&gt;=1500,"Mid",J752&lt;=1500,"High",TRUE,"no")</f>
        <v>High</v>
      </c>
      <c r="N752" s="6"/>
      <c r="O752" s="6" t="str">
        <f t="shared" si="19"/>
        <v>Alice</v>
      </c>
    </row>
    <row r="753" spans="1:15" x14ac:dyDescent="0.3">
      <c r="A753" s="10">
        <v>752</v>
      </c>
      <c r="B753" s="18">
        <v>45678</v>
      </c>
      <c r="C753" s="6" t="s">
        <v>771</v>
      </c>
      <c r="D753" s="6" t="s">
        <v>1</v>
      </c>
      <c r="E753" s="6" t="s">
        <v>14</v>
      </c>
      <c r="F753" s="6">
        <v>56</v>
      </c>
      <c r="G753" s="6" t="s">
        <v>17</v>
      </c>
      <c r="H753" s="6">
        <v>4</v>
      </c>
      <c r="I753" s="6">
        <v>164</v>
      </c>
      <c r="J753" s="11">
        <v>656</v>
      </c>
      <c r="M753" s="6" t="str" cm="1">
        <f t="array" ref="M753">_xlfn.IFS(J753&lt;=500,"Low",J753&gt;=1500,"Mid",J753&lt;=1500,"High",TRUE,"no")</f>
        <v>High</v>
      </c>
      <c r="N753" s="6"/>
      <c r="O753" s="6" t="str">
        <f t="shared" si="19"/>
        <v>Charlie</v>
      </c>
    </row>
    <row r="754" spans="1:15" x14ac:dyDescent="0.3">
      <c r="A754" s="10">
        <v>753</v>
      </c>
      <c r="B754" s="18">
        <v>45679</v>
      </c>
      <c r="C754" s="6" t="s">
        <v>772</v>
      </c>
      <c r="D754" s="6" t="s">
        <v>3</v>
      </c>
      <c r="E754" s="6" t="s">
        <v>19</v>
      </c>
      <c r="F754" s="6">
        <v>19</v>
      </c>
      <c r="G754" s="6" t="s">
        <v>15</v>
      </c>
      <c r="H754" s="6">
        <v>2</v>
      </c>
      <c r="I754" s="6">
        <v>297</v>
      </c>
      <c r="J754" s="11">
        <v>594</v>
      </c>
      <c r="M754" s="6" t="str" cm="1">
        <f t="array" ref="M754">_xlfn.IFS(J754&lt;=500,"Low",J754&gt;=1500,"Mid",J754&lt;=1500,"High",TRUE,"no")</f>
        <v>High</v>
      </c>
      <c r="N754" s="6"/>
      <c r="O754" s="6" t="str">
        <f t="shared" si="19"/>
        <v>Bob</v>
      </c>
    </row>
    <row r="755" spans="1:15" x14ac:dyDescent="0.3">
      <c r="A755" s="10">
        <v>754</v>
      </c>
      <c r="B755" s="18">
        <v>45680</v>
      </c>
      <c r="C755" s="6" t="s">
        <v>773</v>
      </c>
      <c r="D755" s="6" t="s">
        <v>1</v>
      </c>
      <c r="E755" s="6" t="s">
        <v>14</v>
      </c>
      <c r="F755" s="6">
        <v>50</v>
      </c>
      <c r="G755" s="6" t="s">
        <v>23</v>
      </c>
      <c r="H755" s="6">
        <v>5</v>
      </c>
      <c r="I755" s="6">
        <v>228</v>
      </c>
      <c r="J755" s="11">
        <v>1140</v>
      </c>
      <c r="M755" s="6" t="str" cm="1">
        <f t="array" ref="M755">_xlfn.IFS(J755&lt;=500,"Low",J755&gt;=1500,"Mid",J755&lt;=1500,"High",TRUE,"no")</f>
        <v>High</v>
      </c>
      <c r="N755" s="6"/>
      <c r="O755" s="6" t="str">
        <f t="shared" si="19"/>
        <v>Charlie</v>
      </c>
    </row>
    <row r="756" spans="1:15" x14ac:dyDescent="0.3">
      <c r="A756" s="10">
        <v>755</v>
      </c>
      <c r="B756" s="18">
        <v>45681</v>
      </c>
      <c r="C756" s="6" t="s">
        <v>774</v>
      </c>
      <c r="D756" s="6" t="s">
        <v>1</v>
      </c>
      <c r="E756" s="6" t="s">
        <v>14</v>
      </c>
      <c r="F756" s="6">
        <v>34</v>
      </c>
      <c r="G756" s="6" t="s">
        <v>17</v>
      </c>
      <c r="H756" s="6">
        <v>4</v>
      </c>
      <c r="I756" s="6">
        <v>460</v>
      </c>
      <c r="J756" s="11">
        <v>1840</v>
      </c>
      <c r="M756" s="6" t="str" cm="1">
        <f t="array" ref="M756">_xlfn.IFS(J756&lt;=500,"Low",J756&gt;=1500,"Mid",J756&lt;=1500,"High",TRUE,"no")</f>
        <v>Mid</v>
      </c>
      <c r="N756" s="6"/>
      <c r="O756" s="6" t="str">
        <f t="shared" si="19"/>
        <v>Charlie</v>
      </c>
    </row>
    <row r="757" spans="1:15" x14ac:dyDescent="0.3">
      <c r="A757" s="10">
        <v>756</v>
      </c>
      <c r="B757" s="18">
        <v>45682</v>
      </c>
      <c r="C757" s="6" t="s">
        <v>775</v>
      </c>
      <c r="D757" s="6" t="s">
        <v>4</v>
      </c>
      <c r="E757" s="6" t="s">
        <v>14</v>
      </c>
      <c r="F757" s="6">
        <v>37</v>
      </c>
      <c r="G757" s="6" t="s">
        <v>15</v>
      </c>
      <c r="H757" s="6">
        <v>3</v>
      </c>
      <c r="I757" s="6">
        <v>325</v>
      </c>
      <c r="J757" s="11">
        <v>975</v>
      </c>
      <c r="M757" s="6" t="str" cm="1">
        <f t="array" ref="M757">_xlfn.IFS(J757&lt;=500,"Low",J757&gt;=1500,"Mid",J757&lt;=1500,"High",TRUE,"no")</f>
        <v>High</v>
      </c>
      <c r="N757" s="6"/>
      <c r="O757" s="6" t="str">
        <f t="shared" si="19"/>
        <v>Alice</v>
      </c>
    </row>
    <row r="758" spans="1:15" x14ac:dyDescent="0.3">
      <c r="A758" s="10">
        <v>757</v>
      </c>
      <c r="B758" s="18">
        <v>45683</v>
      </c>
      <c r="C758" s="6" t="s">
        <v>776</v>
      </c>
      <c r="D758" s="6" t="s">
        <v>2</v>
      </c>
      <c r="E758" s="6" t="s">
        <v>14</v>
      </c>
      <c r="F758" s="6">
        <v>33</v>
      </c>
      <c r="G758" s="6" t="s">
        <v>15</v>
      </c>
      <c r="H758" s="6">
        <v>5</v>
      </c>
      <c r="I758" s="6">
        <v>466</v>
      </c>
      <c r="J758" s="11">
        <v>2330</v>
      </c>
      <c r="M758" s="6" t="str" cm="1">
        <f t="array" ref="M758">_xlfn.IFS(J758&lt;=500,"Low",J758&gt;=1500,"Mid",J758&lt;=1500,"High",TRUE,"no")</f>
        <v>Mid</v>
      </c>
      <c r="N758" s="6"/>
      <c r="O758" s="6" t="str">
        <f t="shared" si="19"/>
        <v>Diana</v>
      </c>
    </row>
    <row r="759" spans="1:15" x14ac:dyDescent="0.3">
      <c r="A759" s="10">
        <v>758</v>
      </c>
      <c r="B759" s="18">
        <v>45684</v>
      </c>
      <c r="C759" s="6" t="s">
        <v>777</v>
      </c>
      <c r="D759" s="6" t="s">
        <v>2</v>
      </c>
      <c r="E759" s="6" t="s">
        <v>19</v>
      </c>
      <c r="F759" s="6">
        <v>38</v>
      </c>
      <c r="G759" s="6" t="s">
        <v>23</v>
      </c>
      <c r="H759" s="6">
        <v>3</v>
      </c>
      <c r="I759" s="6">
        <v>173</v>
      </c>
      <c r="J759" s="11">
        <v>519</v>
      </c>
      <c r="M759" s="6" t="str" cm="1">
        <f t="array" ref="M759">_xlfn.IFS(J759&lt;=500,"Low",J759&gt;=1500,"Mid",J759&lt;=1500,"High",TRUE,"no")</f>
        <v>High</v>
      </c>
      <c r="N759" s="6"/>
      <c r="O759" s="6" t="str">
        <f t="shared" si="19"/>
        <v>Diana</v>
      </c>
    </row>
    <row r="760" spans="1:15" x14ac:dyDescent="0.3">
      <c r="A760" s="10">
        <v>759</v>
      </c>
      <c r="B760" s="18">
        <v>45685</v>
      </c>
      <c r="C760" s="6" t="s">
        <v>778</v>
      </c>
      <c r="D760" s="6" t="s">
        <v>4</v>
      </c>
      <c r="E760" s="6" t="s">
        <v>14</v>
      </c>
      <c r="F760" s="6">
        <v>31</v>
      </c>
      <c r="G760" s="6" t="s">
        <v>23</v>
      </c>
      <c r="H760" s="6">
        <v>1</v>
      </c>
      <c r="I760" s="6">
        <v>164</v>
      </c>
      <c r="J760" s="11">
        <v>164</v>
      </c>
      <c r="M760" s="6" t="str" cm="1">
        <f t="array" ref="M760">_xlfn.IFS(J760&lt;=500,"Low",J760&gt;=1500,"Mid",J760&lt;=1500,"High",TRUE,"no")</f>
        <v>Low</v>
      </c>
      <c r="N760" s="6"/>
      <c r="O760" s="6" t="str">
        <f t="shared" si="19"/>
        <v>Alice</v>
      </c>
    </row>
    <row r="761" spans="1:15" x14ac:dyDescent="0.3">
      <c r="A761" s="10">
        <v>760</v>
      </c>
      <c r="B761" s="18">
        <v>45686</v>
      </c>
      <c r="C761" s="6" t="s">
        <v>779</v>
      </c>
      <c r="D761" s="6" t="s">
        <v>4</v>
      </c>
      <c r="E761" s="6" t="s">
        <v>14</v>
      </c>
      <c r="F761" s="6">
        <v>52</v>
      </c>
      <c r="G761" s="6" t="s">
        <v>27</v>
      </c>
      <c r="H761" s="6">
        <v>3</v>
      </c>
      <c r="I761" s="6">
        <v>485</v>
      </c>
      <c r="J761" s="11">
        <v>1455</v>
      </c>
      <c r="M761" s="6" t="str" cm="1">
        <f t="array" ref="M761">_xlfn.IFS(J761&lt;=500,"Low",J761&gt;=1500,"Mid",J761&lt;=1500,"High",TRUE,"no")</f>
        <v>High</v>
      </c>
      <c r="N761" s="6"/>
      <c r="O761" s="6" t="str">
        <f t="shared" si="19"/>
        <v>Alice</v>
      </c>
    </row>
    <row r="762" spans="1:15" x14ac:dyDescent="0.3">
      <c r="A762" s="10">
        <v>761</v>
      </c>
      <c r="B762" s="18">
        <v>45687</v>
      </c>
      <c r="C762" s="6" t="s">
        <v>780</v>
      </c>
      <c r="D762" s="6" t="s">
        <v>4</v>
      </c>
      <c r="E762" s="6" t="s">
        <v>19</v>
      </c>
      <c r="F762" s="6">
        <v>56</v>
      </c>
      <c r="G762" s="6" t="s">
        <v>17</v>
      </c>
      <c r="H762" s="6">
        <v>5</v>
      </c>
      <c r="I762" s="6">
        <v>321</v>
      </c>
      <c r="J762" s="11">
        <v>1605</v>
      </c>
      <c r="M762" s="6" t="str" cm="1">
        <f t="array" ref="M762">_xlfn.IFS(J762&lt;=500,"Low",J762&gt;=1500,"Mid",J762&lt;=1500,"High",TRUE,"no")</f>
        <v>Mid</v>
      </c>
      <c r="N762" s="6"/>
      <c r="O762" s="6" t="str">
        <f t="shared" si="19"/>
        <v>Alice</v>
      </c>
    </row>
    <row r="763" spans="1:15" x14ac:dyDescent="0.3">
      <c r="A763" s="10">
        <v>762</v>
      </c>
      <c r="B763" s="18">
        <v>45688</v>
      </c>
      <c r="C763" s="6" t="s">
        <v>781</v>
      </c>
      <c r="D763" s="6" t="s">
        <v>4</v>
      </c>
      <c r="E763" s="6" t="s">
        <v>19</v>
      </c>
      <c r="F763" s="6">
        <v>58</v>
      </c>
      <c r="G763" s="6" t="s">
        <v>23</v>
      </c>
      <c r="H763" s="6">
        <v>4</v>
      </c>
      <c r="I763" s="6">
        <v>450</v>
      </c>
      <c r="J763" s="11">
        <v>1800</v>
      </c>
      <c r="M763" s="6" t="str" cm="1">
        <f t="array" ref="M763">_xlfn.IFS(J763&lt;=500,"Low",J763&gt;=1500,"Mid",J763&lt;=1500,"High",TRUE,"no")</f>
        <v>Mid</v>
      </c>
      <c r="N763" s="6"/>
      <c r="O763" s="6" t="str">
        <f t="shared" si="19"/>
        <v>Alice</v>
      </c>
    </row>
    <row r="764" spans="1:15" x14ac:dyDescent="0.3">
      <c r="A764" s="10">
        <v>763</v>
      </c>
      <c r="B764" s="18">
        <v>45689</v>
      </c>
      <c r="C764" s="6" t="s">
        <v>782</v>
      </c>
      <c r="D764" s="6" t="s">
        <v>4</v>
      </c>
      <c r="E764" s="6" t="s">
        <v>19</v>
      </c>
      <c r="F764" s="6">
        <v>47</v>
      </c>
      <c r="G764" s="6" t="s">
        <v>15</v>
      </c>
      <c r="H764" s="6">
        <v>5</v>
      </c>
      <c r="I764" s="6">
        <v>103</v>
      </c>
      <c r="J764" s="11">
        <v>515</v>
      </c>
      <c r="M764" s="6" t="str" cm="1">
        <f t="array" ref="M764">_xlfn.IFS(J764&lt;=500,"Low",J764&gt;=1500,"Mid",J764&lt;=1500,"High",TRUE,"no")</f>
        <v>High</v>
      </c>
      <c r="N764" s="6"/>
      <c r="O764" s="6" t="str">
        <f t="shared" si="19"/>
        <v>Alice</v>
      </c>
    </row>
    <row r="765" spans="1:15" x14ac:dyDescent="0.3">
      <c r="A765" s="10">
        <v>764</v>
      </c>
      <c r="B765" s="18">
        <v>45690</v>
      </c>
      <c r="C765" s="6" t="s">
        <v>783</v>
      </c>
      <c r="D765" s="6" t="s">
        <v>3</v>
      </c>
      <c r="E765" s="6" t="s">
        <v>14</v>
      </c>
      <c r="F765" s="6">
        <v>36</v>
      </c>
      <c r="G765" s="6" t="s">
        <v>23</v>
      </c>
      <c r="H765" s="6">
        <v>3</v>
      </c>
      <c r="I765" s="6">
        <v>358</v>
      </c>
      <c r="J765" s="11">
        <v>1074</v>
      </c>
      <c r="M765" s="6" t="str" cm="1">
        <f t="array" ref="M765">_xlfn.IFS(J765&lt;=500,"Low",J765&gt;=1500,"Mid",J765&lt;=1500,"High",TRUE,"no")</f>
        <v>High</v>
      </c>
      <c r="N765" s="6"/>
      <c r="O765" s="6" t="str">
        <f t="shared" si="19"/>
        <v>Bob</v>
      </c>
    </row>
    <row r="766" spans="1:15" x14ac:dyDescent="0.3">
      <c r="A766" s="10">
        <v>765</v>
      </c>
      <c r="B766" s="18">
        <v>45691</v>
      </c>
      <c r="C766" s="6" t="s">
        <v>784</v>
      </c>
      <c r="D766" s="6" t="s">
        <v>1</v>
      </c>
      <c r="E766" s="6" t="s">
        <v>19</v>
      </c>
      <c r="F766" s="6">
        <v>28</v>
      </c>
      <c r="G766" s="6" t="s">
        <v>15</v>
      </c>
      <c r="H766" s="6">
        <v>4</v>
      </c>
      <c r="I766" s="6">
        <v>206</v>
      </c>
      <c r="J766" s="11">
        <v>824</v>
      </c>
      <c r="M766" s="6" t="str" cm="1">
        <f t="array" ref="M766">_xlfn.IFS(J766&lt;=500,"Low",J766&gt;=1500,"Mid",J766&lt;=1500,"High",TRUE,"no")</f>
        <v>High</v>
      </c>
      <c r="N766" s="6"/>
      <c r="O766" s="6" t="str">
        <f t="shared" si="19"/>
        <v>Charlie</v>
      </c>
    </row>
    <row r="767" spans="1:15" x14ac:dyDescent="0.3">
      <c r="A767" s="10">
        <v>766</v>
      </c>
      <c r="B767" s="18">
        <v>45692</v>
      </c>
      <c r="C767" s="6" t="s">
        <v>785</v>
      </c>
      <c r="D767" s="6" t="s">
        <v>1</v>
      </c>
      <c r="E767" s="6" t="s">
        <v>19</v>
      </c>
      <c r="F767" s="6">
        <v>55</v>
      </c>
      <c r="G767" s="6" t="s">
        <v>17</v>
      </c>
      <c r="H767" s="6">
        <v>3</v>
      </c>
      <c r="I767" s="6">
        <v>327</v>
      </c>
      <c r="J767" s="11">
        <v>981</v>
      </c>
      <c r="M767" s="6" t="str" cm="1">
        <f t="array" ref="M767">_xlfn.IFS(J767&lt;=500,"Low",J767&gt;=1500,"Mid",J767&lt;=1500,"High",TRUE,"no")</f>
        <v>High</v>
      </c>
      <c r="N767" s="6"/>
      <c r="O767" s="6" t="str">
        <f t="shared" si="19"/>
        <v>Charlie</v>
      </c>
    </row>
    <row r="768" spans="1:15" x14ac:dyDescent="0.3">
      <c r="A768" s="10">
        <v>767</v>
      </c>
      <c r="B768" s="18">
        <v>45693</v>
      </c>
      <c r="C768" s="6" t="s">
        <v>786</v>
      </c>
      <c r="D768" s="6" t="s">
        <v>1</v>
      </c>
      <c r="E768" s="6" t="s">
        <v>19</v>
      </c>
      <c r="F768" s="6">
        <v>20</v>
      </c>
      <c r="G768" s="6" t="s">
        <v>17</v>
      </c>
      <c r="H768" s="6">
        <v>1</v>
      </c>
      <c r="I768" s="6">
        <v>100</v>
      </c>
      <c r="J768" s="11">
        <v>100</v>
      </c>
      <c r="M768" s="6" t="str" cm="1">
        <f t="array" ref="M768">_xlfn.IFS(J768&lt;=500,"Low",J768&gt;=1500,"Mid",J768&lt;=1500,"High",TRUE,"no")</f>
        <v>Low</v>
      </c>
      <c r="N768" s="6"/>
      <c r="O768" s="6" t="str">
        <f t="shared" si="19"/>
        <v>Charlie</v>
      </c>
    </row>
    <row r="769" spans="1:15" x14ac:dyDescent="0.3">
      <c r="A769" s="10">
        <v>768</v>
      </c>
      <c r="B769" s="18">
        <v>45694</v>
      </c>
      <c r="C769" s="6" t="s">
        <v>787</v>
      </c>
      <c r="D769" s="6" t="s">
        <v>2</v>
      </c>
      <c r="E769" s="6" t="s">
        <v>19</v>
      </c>
      <c r="F769" s="6">
        <v>38</v>
      </c>
      <c r="G769" s="6" t="s">
        <v>15</v>
      </c>
      <c r="H769" s="6">
        <v>3</v>
      </c>
      <c r="I769" s="6">
        <v>418</v>
      </c>
      <c r="J769" s="11">
        <v>1254</v>
      </c>
      <c r="M769" s="6" t="str" cm="1">
        <f t="array" ref="M769">_xlfn.IFS(J769&lt;=500,"Low",J769&gt;=1500,"Mid",J769&lt;=1500,"High",TRUE,"no")</f>
        <v>High</v>
      </c>
      <c r="N769" s="6"/>
      <c r="O769" s="6" t="str">
        <f t="shared" si="19"/>
        <v>Diana</v>
      </c>
    </row>
    <row r="770" spans="1:15" x14ac:dyDescent="0.3">
      <c r="A770" s="10">
        <v>769</v>
      </c>
      <c r="B770" s="18">
        <v>45695</v>
      </c>
      <c r="C770" s="6" t="s">
        <v>788</v>
      </c>
      <c r="D770" s="6" t="s">
        <v>3</v>
      </c>
      <c r="E770" s="6" t="s">
        <v>14</v>
      </c>
      <c r="F770" s="6">
        <v>60</v>
      </c>
      <c r="G770" s="6" t="s">
        <v>23</v>
      </c>
      <c r="H770" s="6">
        <v>2</v>
      </c>
      <c r="I770" s="6">
        <v>162</v>
      </c>
      <c r="J770" s="11">
        <v>324</v>
      </c>
      <c r="M770" s="6" t="str" cm="1">
        <f t="array" ref="M770">_xlfn.IFS(J770&lt;=500,"Low",J770&gt;=1500,"Mid",J770&lt;=1500,"High",TRUE,"no")</f>
        <v>Low</v>
      </c>
      <c r="N770" s="6"/>
      <c r="O770" s="6" t="str">
        <f t="shared" si="19"/>
        <v>Bob</v>
      </c>
    </row>
    <row r="771" spans="1:15" x14ac:dyDescent="0.3">
      <c r="A771" s="10">
        <v>770</v>
      </c>
      <c r="B771" s="18">
        <v>45696</v>
      </c>
      <c r="C771" s="6" t="s">
        <v>789</v>
      </c>
      <c r="D771" s="6" t="s">
        <v>1</v>
      </c>
      <c r="E771" s="6" t="s">
        <v>19</v>
      </c>
      <c r="F771" s="6">
        <v>51</v>
      </c>
      <c r="G771" s="6" t="s">
        <v>23</v>
      </c>
      <c r="H771" s="6">
        <v>3</v>
      </c>
      <c r="I771" s="6">
        <v>244</v>
      </c>
      <c r="J771" s="11">
        <v>732</v>
      </c>
      <c r="M771" s="6" t="str" cm="1">
        <f t="array" ref="M771">_xlfn.IFS(J771&lt;=500,"Low",J771&gt;=1500,"Mid",J771&lt;=1500,"High",TRUE,"no")</f>
        <v>High</v>
      </c>
      <c r="N771" s="6"/>
      <c r="O771" s="6" t="str">
        <f t="shared" ref="O771:O834" si="20">INDEX(D771:D1770,MATCH($D$2,$D$2:$D$1001,0))</f>
        <v>Charlie</v>
      </c>
    </row>
    <row r="772" spans="1:15" x14ac:dyDescent="0.3">
      <c r="A772" s="10">
        <v>771</v>
      </c>
      <c r="B772" s="18">
        <v>45697</v>
      </c>
      <c r="C772" s="6" t="s">
        <v>790</v>
      </c>
      <c r="D772" s="6" t="s">
        <v>2</v>
      </c>
      <c r="E772" s="6" t="s">
        <v>19</v>
      </c>
      <c r="F772" s="6">
        <v>40</v>
      </c>
      <c r="G772" s="6" t="s">
        <v>15</v>
      </c>
      <c r="H772" s="6">
        <v>2</v>
      </c>
      <c r="I772" s="6">
        <v>478</v>
      </c>
      <c r="J772" s="11">
        <v>956</v>
      </c>
      <c r="M772" s="6" t="str" cm="1">
        <f t="array" ref="M772">_xlfn.IFS(J772&lt;=500,"Low",J772&gt;=1500,"Mid",J772&lt;=1500,"High",TRUE,"no")</f>
        <v>High</v>
      </c>
      <c r="N772" s="6"/>
      <c r="O772" s="6" t="str">
        <f t="shared" si="20"/>
        <v>Diana</v>
      </c>
    </row>
    <row r="773" spans="1:15" x14ac:dyDescent="0.3">
      <c r="A773" s="10">
        <v>772</v>
      </c>
      <c r="B773" s="18">
        <v>45698</v>
      </c>
      <c r="C773" s="6" t="s">
        <v>791</v>
      </c>
      <c r="D773" s="6" t="s">
        <v>3</v>
      </c>
      <c r="E773" s="6" t="s">
        <v>19</v>
      </c>
      <c r="F773" s="6">
        <v>38</v>
      </c>
      <c r="G773" s="6" t="s">
        <v>23</v>
      </c>
      <c r="H773" s="6">
        <v>1</v>
      </c>
      <c r="I773" s="6">
        <v>411</v>
      </c>
      <c r="J773" s="11">
        <v>411</v>
      </c>
      <c r="M773" s="6" t="str" cm="1">
        <f t="array" ref="M773">_xlfn.IFS(J773&lt;=500,"Low",J773&gt;=1500,"Mid",J773&lt;=1500,"High",TRUE,"no")</f>
        <v>Low</v>
      </c>
      <c r="N773" s="6"/>
      <c r="O773" s="6" t="str">
        <f t="shared" si="20"/>
        <v>Bob</v>
      </c>
    </row>
    <row r="774" spans="1:15" x14ac:dyDescent="0.3">
      <c r="A774" s="10">
        <v>773</v>
      </c>
      <c r="B774" s="18">
        <v>45699</v>
      </c>
      <c r="C774" s="6" t="s">
        <v>792</v>
      </c>
      <c r="D774" s="6" t="s">
        <v>3</v>
      </c>
      <c r="E774" s="6" t="s">
        <v>14</v>
      </c>
      <c r="F774" s="6">
        <v>27</v>
      </c>
      <c r="G774" s="6" t="s">
        <v>23</v>
      </c>
      <c r="H774" s="6">
        <v>3</v>
      </c>
      <c r="I774" s="6">
        <v>344</v>
      </c>
      <c r="J774" s="11">
        <v>1032</v>
      </c>
      <c r="M774" s="6" t="str" cm="1">
        <f t="array" ref="M774">_xlfn.IFS(J774&lt;=500,"Low",J774&gt;=1500,"Mid",J774&lt;=1500,"High",TRUE,"no")</f>
        <v>High</v>
      </c>
      <c r="N774" s="6"/>
      <c r="O774" s="6" t="str">
        <f t="shared" si="20"/>
        <v>Bob</v>
      </c>
    </row>
    <row r="775" spans="1:15" x14ac:dyDescent="0.3">
      <c r="A775" s="10">
        <v>774</v>
      </c>
      <c r="B775" s="18">
        <v>45700</v>
      </c>
      <c r="C775" s="6" t="s">
        <v>793</v>
      </c>
      <c r="D775" s="6" t="s">
        <v>2</v>
      </c>
      <c r="E775" s="6" t="s">
        <v>14</v>
      </c>
      <c r="F775" s="6">
        <v>54</v>
      </c>
      <c r="G775" s="6" t="s">
        <v>17</v>
      </c>
      <c r="H775" s="6">
        <v>4</v>
      </c>
      <c r="I775" s="6">
        <v>166</v>
      </c>
      <c r="J775" s="11">
        <v>664</v>
      </c>
      <c r="M775" s="6" t="str" cm="1">
        <f t="array" ref="M775">_xlfn.IFS(J775&lt;=500,"Low",J775&gt;=1500,"Mid",J775&lt;=1500,"High",TRUE,"no")</f>
        <v>High</v>
      </c>
      <c r="N775" s="6"/>
      <c r="O775" s="6" t="str">
        <f t="shared" si="20"/>
        <v>Diana</v>
      </c>
    </row>
    <row r="776" spans="1:15" x14ac:dyDescent="0.3">
      <c r="A776" s="10">
        <v>775</v>
      </c>
      <c r="B776" s="18">
        <v>45701</v>
      </c>
      <c r="C776" s="6" t="s">
        <v>794</v>
      </c>
      <c r="D776" s="6" t="s">
        <v>3</v>
      </c>
      <c r="E776" s="6" t="s">
        <v>14</v>
      </c>
      <c r="F776" s="6">
        <v>46</v>
      </c>
      <c r="G776" s="6" t="s">
        <v>20</v>
      </c>
      <c r="H776" s="6">
        <v>3</v>
      </c>
      <c r="I776" s="6">
        <v>106</v>
      </c>
      <c r="J776" s="11">
        <v>318</v>
      </c>
      <c r="M776" s="6" t="str" cm="1">
        <f t="array" ref="M776">_xlfn.IFS(J776&lt;=500,"Low",J776&gt;=1500,"Mid",J776&lt;=1500,"High",TRUE,"no")</f>
        <v>Low</v>
      </c>
      <c r="N776" s="6"/>
      <c r="O776" s="6" t="str">
        <f t="shared" si="20"/>
        <v>Bob</v>
      </c>
    </row>
    <row r="777" spans="1:15" x14ac:dyDescent="0.3">
      <c r="A777" s="10">
        <v>776</v>
      </c>
      <c r="B777" s="18">
        <v>45702</v>
      </c>
      <c r="C777" s="6" t="s">
        <v>795</v>
      </c>
      <c r="D777" s="6" t="s">
        <v>2</v>
      </c>
      <c r="E777" s="6" t="s">
        <v>19</v>
      </c>
      <c r="F777" s="6">
        <v>33</v>
      </c>
      <c r="G777" s="6" t="s">
        <v>20</v>
      </c>
      <c r="H777" s="6">
        <v>2</v>
      </c>
      <c r="I777" s="6">
        <v>144</v>
      </c>
      <c r="J777" s="11">
        <v>288</v>
      </c>
      <c r="M777" s="6" t="str" cm="1">
        <f t="array" ref="M777">_xlfn.IFS(J777&lt;=500,"Low",J777&gt;=1500,"Mid",J777&lt;=1500,"High",TRUE,"no")</f>
        <v>Low</v>
      </c>
      <c r="N777" s="6"/>
      <c r="O777" s="6" t="str">
        <f t="shared" si="20"/>
        <v>Diana</v>
      </c>
    </row>
    <row r="778" spans="1:15" x14ac:dyDescent="0.3">
      <c r="A778" s="10">
        <v>777</v>
      </c>
      <c r="B778" s="18">
        <v>45703</v>
      </c>
      <c r="C778" s="6" t="s">
        <v>796</v>
      </c>
      <c r="D778" s="6" t="s">
        <v>1</v>
      </c>
      <c r="E778" s="6" t="s">
        <v>19</v>
      </c>
      <c r="F778" s="6">
        <v>27</v>
      </c>
      <c r="G778" s="6" t="s">
        <v>15</v>
      </c>
      <c r="H778" s="6">
        <v>2</v>
      </c>
      <c r="I778" s="6">
        <v>302</v>
      </c>
      <c r="J778" s="11">
        <v>604</v>
      </c>
      <c r="M778" s="6" t="str" cm="1">
        <f t="array" ref="M778">_xlfn.IFS(J778&lt;=500,"Low",J778&gt;=1500,"Mid",J778&lt;=1500,"High",TRUE,"no")</f>
        <v>High</v>
      </c>
      <c r="N778" s="6"/>
      <c r="O778" s="6" t="str">
        <f t="shared" si="20"/>
        <v>Charlie</v>
      </c>
    </row>
    <row r="779" spans="1:15" x14ac:dyDescent="0.3">
      <c r="A779" s="10">
        <v>778</v>
      </c>
      <c r="B779" s="18">
        <v>45704</v>
      </c>
      <c r="C779" s="6" t="s">
        <v>797</v>
      </c>
      <c r="D779" s="6" t="s">
        <v>2</v>
      </c>
      <c r="E779" s="6" t="s">
        <v>19</v>
      </c>
      <c r="F779" s="6">
        <v>29</v>
      </c>
      <c r="G779" s="6" t="s">
        <v>15</v>
      </c>
      <c r="H779" s="6">
        <v>3</v>
      </c>
      <c r="I779" s="6">
        <v>262</v>
      </c>
      <c r="J779" s="11">
        <v>786</v>
      </c>
      <c r="M779" s="6" t="str" cm="1">
        <f t="array" ref="M779">_xlfn.IFS(J779&lt;=500,"Low",J779&gt;=1500,"Mid",J779&lt;=1500,"High",TRUE,"no")</f>
        <v>High</v>
      </c>
      <c r="N779" s="6"/>
      <c r="O779" s="6" t="str">
        <f t="shared" si="20"/>
        <v>Diana</v>
      </c>
    </row>
    <row r="780" spans="1:15" x14ac:dyDescent="0.3">
      <c r="A780" s="10">
        <v>779</v>
      </c>
      <c r="B780" s="18">
        <v>45705</v>
      </c>
      <c r="C780" s="6" t="s">
        <v>798</v>
      </c>
      <c r="D780" s="6" t="s">
        <v>3</v>
      </c>
      <c r="E780" s="6" t="s">
        <v>19</v>
      </c>
      <c r="F780" s="6">
        <v>35</v>
      </c>
      <c r="G780" s="6" t="s">
        <v>15</v>
      </c>
      <c r="H780" s="6">
        <v>5</v>
      </c>
      <c r="I780" s="6">
        <v>140</v>
      </c>
      <c r="J780" s="11">
        <v>700</v>
      </c>
      <c r="M780" s="6" t="str" cm="1">
        <f t="array" ref="M780">_xlfn.IFS(J780&lt;=500,"Low",J780&gt;=1500,"Mid",J780&lt;=1500,"High",TRUE,"no")</f>
        <v>High</v>
      </c>
      <c r="N780" s="6"/>
      <c r="O780" s="6" t="str">
        <f t="shared" si="20"/>
        <v>Bob</v>
      </c>
    </row>
    <row r="781" spans="1:15" x14ac:dyDescent="0.3">
      <c r="A781" s="10">
        <v>780</v>
      </c>
      <c r="B781" s="18">
        <v>45706</v>
      </c>
      <c r="C781" s="6" t="s">
        <v>799</v>
      </c>
      <c r="D781" s="6" t="s">
        <v>1</v>
      </c>
      <c r="E781" s="6" t="s">
        <v>14</v>
      </c>
      <c r="F781" s="6">
        <v>29</v>
      </c>
      <c r="G781" s="6" t="s">
        <v>23</v>
      </c>
      <c r="H781" s="6">
        <v>3</v>
      </c>
      <c r="I781" s="6">
        <v>372</v>
      </c>
      <c r="J781" s="11">
        <v>1116</v>
      </c>
      <c r="M781" s="6" t="str" cm="1">
        <f t="array" ref="M781">_xlfn.IFS(J781&lt;=500,"Low",J781&gt;=1500,"Mid",J781&lt;=1500,"High",TRUE,"no")</f>
        <v>High</v>
      </c>
      <c r="N781" s="6"/>
      <c r="O781" s="6" t="str">
        <f t="shared" si="20"/>
        <v>Charlie</v>
      </c>
    </row>
    <row r="782" spans="1:15" x14ac:dyDescent="0.3">
      <c r="A782" s="10">
        <v>781</v>
      </c>
      <c r="B782" s="18">
        <v>45707</v>
      </c>
      <c r="C782" s="6" t="s">
        <v>800</v>
      </c>
      <c r="D782" s="6" t="s">
        <v>1</v>
      </c>
      <c r="E782" s="6" t="s">
        <v>19</v>
      </c>
      <c r="F782" s="6">
        <v>23</v>
      </c>
      <c r="G782" s="6" t="s">
        <v>23</v>
      </c>
      <c r="H782" s="6">
        <v>4</v>
      </c>
      <c r="I782" s="6">
        <v>468</v>
      </c>
      <c r="J782" s="11">
        <v>1872</v>
      </c>
      <c r="M782" s="6" t="str" cm="1">
        <f t="array" ref="M782">_xlfn.IFS(J782&lt;=500,"Low",J782&gt;=1500,"Mid",J782&lt;=1500,"High",TRUE,"no")</f>
        <v>Mid</v>
      </c>
      <c r="N782" s="6"/>
      <c r="O782" s="6" t="str">
        <f t="shared" si="20"/>
        <v>Charlie</v>
      </c>
    </row>
    <row r="783" spans="1:15" x14ac:dyDescent="0.3">
      <c r="A783" s="10">
        <v>782</v>
      </c>
      <c r="B783" s="18">
        <v>45708</v>
      </c>
      <c r="C783" s="6" t="s">
        <v>801</v>
      </c>
      <c r="D783" s="6" t="s">
        <v>4</v>
      </c>
      <c r="E783" s="6" t="s">
        <v>19</v>
      </c>
      <c r="F783" s="6">
        <v>51</v>
      </c>
      <c r="G783" s="6" t="s">
        <v>20</v>
      </c>
      <c r="H783" s="6">
        <v>2</v>
      </c>
      <c r="I783" s="6">
        <v>283</v>
      </c>
      <c r="J783" s="11">
        <v>566</v>
      </c>
      <c r="M783" s="6" t="str" cm="1">
        <f t="array" ref="M783">_xlfn.IFS(J783&lt;=500,"Low",J783&gt;=1500,"Mid",J783&lt;=1500,"High",TRUE,"no")</f>
        <v>High</v>
      </c>
      <c r="N783" s="6"/>
      <c r="O783" s="6" t="str">
        <f t="shared" si="20"/>
        <v>Alice</v>
      </c>
    </row>
    <row r="784" spans="1:15" x14ac:dyDescent="0.3">
      <c r="A784" s="10">
        <v>783</v>
      </c>
      <c r="B784" s="18">
        <v>45709</v>
      </c>
      <c r="C784" s="6" t="s">
        <v>802</v>
      </c>
      <c r="D784" s="6" t="s">
        <v>4</v>
      </c>
      <c r="E784" s="6" t="s">
        <v>14</v>
      </c>
      <c r="F784" s="6">
        <v>43</v>
      </c>
      <c r="G784" s="6" t="s">
        <v>27</v>
      </c>
      <c r="H784" s="6">
        <v>1</v>
      </c>
      <c r="I784" s="6">
        <v>158</v>
      </c>
      <c r="J784" s="11">
        <v>158</v>
      </c>
      <c r="M784" s="6" t="str" cm="1">
        <f t="array" ref="M784">_xlfn.IFS(J784&lt;=500,"Low",J784&gt;=1500,"Mid",J784&lt;=1500,"High",TRUE,"no")</f>
        <v>Low</v>
      </c>
      <c r="N784" s="6"/>
      <c r="O784" s="6" t="str">
        <f t="shared" si="20"/>
        <v>Alice</v>
      </c>
    </row>
    <row r="785" spans="1:15" x14ac:dyDescent="0.3">
      <c r="A785" s="10">
        <v>784</v>
      </c>
      <c r="B785" s="18">
        <v>45710</v>
      </c>
      <c r="C785" s="6" t="s">
        <v>803</v>
      </c>
      <c r="D785" s="6" t="s">
        <v>3</v>
      </c>
      <c r="E785" s="6" t="s">
        <v>19</v>
      </c>
      <c r="F785" s="6">
        <v>20</v>
      </c>
      <c r="G785" s="6" t="s">
        <v>20</v>
      </c>
      <c r="H785" s="6">
        <v>2</v>
      </c>
      <c r="I785" s="6">
        <v>440</v>
      </c>
      <c r="J785" s="11">
        <v>880</v>
      </c>
      <c r="M785" s="6" t="str" cm="1">
        <f t="array" ref="M785">_xlfn.IFS(J785&lt;=500,"Low",J785&gt;=1500,"Mid",J785&lt;=1500,"High",TRUE,"no")</f>
        <v>High</v>
      </c>
      <c r="N785" s="6"/>
      <c r="O785" s="6" t="str">
        <f t="shared" si="20"/>
        <v>Bob</v>
      </c>
    </row>
    <row r="786" spans="1:15" x14ac:dyDescent="0.3">
      <c r="A786" s="10">
        <v>785</v>
      </c>
      <c r="B786" s="18">
        <v>45711</v>
      </c>
      <c r="C786" s="6" t="s">
        <v>804</v>
      </c>
      <c r="D786" s="6" t="s">
        <v>2</v>
      </c>
      <c r="E786" s="6" t="s">
        <v>14</v>
      </c>
      <c r="F786" s="6">
        <v>44</v>
      </c>
      <c r="G786" s="6" t="s">
        <v>17</v>
      </c>
      <c r="H786" s="6">
        <v>3</v>
      </c>
      <c r="I786" s="6">
        <v>245</v>
      </c>
      <c r="J786" s="11">
        <v>735</v>
      </c>
      <c r="M786" s="6" t="str" cm="1">
        <f t="array" ref="M786">_xlfn.IFS(J786&lt;=500,"Low",J786&gt;=1500,"Mid",J786&lt;=1500,"High",TRUE,"no")</f>
        <v>High</v>
      </c>
      <c r="N786" s="6"/>
      <c r="O786" s="6" t="str">
        <f t="shared" si="20"/>
        <v>Diana</v>
      </c>
    </row>
    <row r="787" spans="1:15" x14ac:dyDescent="0.3">
      <c r="A787" s="10">
        <v>786</v>
      </c>
      <c r="B787" s="18">
        <v>45712</v>
      </c>
      <c r="C787" s="6" t="s">
        <v>805</v>
      </c>
      <c r="D787" s="6" t="s">
        <v>2</v>
      </c>
      <c r="E787" s="6" t="s">
        <v>19</v>
      </c>
      <c r="F787" s="6">
        <v>53</v>
      </c>
      <c r="G787" s="6" t="s">
        <v>17</v>
      </c>
      <c r="H787" s="6">
        <v>2</v>
      </c>
      <c r="I787" s="6">
        <v>84</v>
      </c>
      <c r="J787" s="11">
        <v>168</v>
      </c>
      <c r="M787" s="6" t="str" cm="1">
        <f t="array" ref="M787">_xlfn.IFS(J787&lt;=500,"Low",J787&gt;=1500,"Mid",J787&lt;=1500,"High",TRUE,"no")</f>
        <v>Low</v>
      </c>
      <c r="N787" s="6"/>
      <c r="O787" s="6" t="str">
        <f t="shared" si="20"/>
        <v>Diana</v>
      </c>
    </row>
    <row r="788" spans="1:15" x14ac:dyDescent="0.3">
      <c r="A788" s="10">
        <v>787</v>
      </c>
      <c r="B788" s="18">
        <v>45713</v>
      </c>
      <c r="C788" s="6" t="s">
        <v>806</v>
      </c>
      <c r="D788" s="6" t="s">
        <v>3</v>
      </c>
      <c r="E788" s="6" t="s">
        <v>19</v>
      </c>
      <c r="F788" s="6">
        <v>42</v>
      </c>
      <c r="G788" s="6" t="s">
        <v>27</v>
      </c>
      <c r="H788" s="6">
        <v>2</v>
      </c>
      <c r="I788" s="6">
        <v>262</v>
      </c>
      <c r="J788" s="11">
        <v>524</v>
      </c>
      <c r="M788" s="6" t="str" cm="1">
        <f t="array" ref="M788">_xlfn.IFS(J788&lt;=500,"Low",J788&gt;=1500,"Mid",J788&lt;=1500,"High",TRUE,"no")</f>
        <v>High</v>
      </c>
      <c r="N788" s="6"/>
      <c r="O788" s="6" t="str">
        <f t="shared" si="20"/>
        <v>Bob</v>
      </c>
    </row>
    <row r="789" spans="1:15" x14ac:dyDescent="0.3">
      <c r="A789" s="10">
        <v>788</v>
      </c>
      <c r="B789" s="18">
        <v>45714</v>
      </c>
      <c r="C789" s="6" t="s">
        <v>807</v>
      </c>
      <c r="D789" s="6" t="s">
        <v>1</v>
      </c>
      <c r="E789" s="6" t="s">
        <v>19</v>
      </c>
      <c r="F789" s="6">
        <v>24</v>
      </c>
      <c r="G789" s="6" t="s">
        <v>17</v>
      </c>
      <c r="H789" s="6">
        <v>4</v>
      </c>
      <c r="I789" s="6">
        <v>68</v>
      </c>
      <c r="J789" s="11">
        <v>272</v>
      </c>
      <c r="M789" s="6" t="str" cm="1">
        <f t="array" ref="M789">_xlfn.IFS(J789&lt;=500,"Low",J789&gt;=1500,"Mid",J789&lt;=1500,"High",TRUE,"no")</f>
        <v>Low</v>
      </c>
      <c r="N789" s="6"/>
      <c r="O789" s="6" t="str">
        <f t="shared" si="20"/>
        <v>Charlie</v>
      </c>
    </row>
    <row r="790" spans="1:15" x14ac:dyDescent="0.3">
      <c r="A790" s="10">
        <v>789</v>
      </c>
      <c r="B790" s="18">
        <v>45715</v>
      </c>
      <c r="C790" s="6" t="s">
        <v>808</v>
      </c>
      <c r="D790" s="6" t="s">
        <v>3</v>
      </c>
      <c r="E790" s="6" t="s">
        <v>14</v>
      </c>
      <c r="F790" s="6">
        <v>57</v>
      </c>
      <c r="G790" s="6" t="s">
        <v>20</v>
      </c>
      <c r="H790" s="6">
        <v>5</v>
      </c>
      <c r="I790" s="6">
        <v>392</v>
      </c>
      <c r="J790" s="11">
        <v>1960</v>
      </c>
      <c r="M790" s="6" t="str" cm="1">
        <f t="array" ref="M790">_xlfn.IFS(J790&lt;=500,"Low",J790&gt;=1500,"Mid",J790&lt;=1500,"High",TRUE,"no")</f>
        <v>Mid</v>
      </c>
      <c r="N790" s="6"/>
      <c r="O790" s="6" t="str">
        <f t="shared" si="20"/>
        <v>Bob</v>
      </c>
    </row>
    <row r="791" spans="1:15" x14ac:dyDescent="0.3">
      <c r="A791" s="10">
        <v>790</v>
      </c>
      <c r="B791" s="18">
        <v>45716</v>
      </c>
      <c r="C791" s="6" t="s">
        <v>809</v>
      </c>
      <c r="D791" s="6" t="s">
        <v>3</v>
      </c>
      <c r="E791" s="6" t="s">
        <v>19</v>
      </c>
      <c r="F791" s="6">
        <v>45</v>
      </c>
      <c r="G791" s="6" t="s">
        <v>17</v>
      </c>
      <c r="H791" s="6">
        <v>1</v>
      </c>
      <c r="I791" s="6">
        <v>325</v>
      </c>
      <c r="J791" s="11">
        <v>325</v>
      </c>
      <c r="M791" s="6" t="str" cm="1">
        <f t="array" ref="M791">_xlfn.IFS(J791&lt;=500,"Low",J791&gt;=1500,"Mid",J791&lt;=1500,"High",TRUE,"no")</f>
        <v>Low</v>
      </c>
      <c r="N791" s="6"/>
      <c r="O791" s="6" t="str">
        <f t="shared" si="20"/>
        <v>Bob</v>
      </c>
    </row>
    <row r="792" spans="1:15" x14ac:dyDescent="0.3">
      <c r="A792" s="10">
        <v>791</v>
      </c>
      <c r="B792" s="18">
        <v>45717</v>
      </c>
      <c r="C792" s="6" t="s">
        <v>810</v>
      </c>
      <c r="D792" s="6" t="s">
        <v>1</v>
      </c>
      <c r="E792" s="6" t="s">
        <v>14</v>
      </c>
      <c r="F792" s="6">
        <v>50</v>
      </c>
      <c r="G792" s="6" t="s">
        <v>15</v>
      </c>
      <c r="H792" s="6">
        <v>3</v>
      </c>
      <c r="I792" s="6">
        <v>278</v>
      </c>
      <c r="J792" s="11">
        <v>834</v>
      </c>
      <c r="M792" s="6" t="str" cm="1">
        <f t="array" ref="M792">_xlfn.IFS(J792&lt;=500,"Low",J792&gt;=1500,"Mid",J792&lt;=1500,"High",TRUE,"no")</f>
        <v>High</v>
      </c>
      <c r="N792" s="6"/>
      <c r="O792" s="6" t="str">
        <f t="shared" si="20"/>
        <v>Charlie</v>
      </c>
    </row>
    <row r="793" spans="1:15" x14ac:dyDescent="0.3">
      <c r="A793" s="10">
        <v>792</v>
      </c>
      <c r="B793" s="18">
        <v>45718</v>
      </c>
      <c r="C793" s="6" t="s">
        <v>811</v>
      </c>
      <c r="D793" s="6" t="s">
        <v>2</v>
      </c>
      <c r="E793" s="6" t="s">
        <v>14</v>
      </c>
      <c r="F793" s="6">
        <v>40</v>
      </c>
      <c r="G793" s="6" t="s">
        <v>17</v>
      </c>
      <c r="H793" s="6">
        <v>1</v>
      </c>
      <c r="I793" s="6">
        <v>273</v>
      </c>
      <c r="J793" s="11">
        <v>273</v>
      </c>
      <c r="M793" s="6" t="str" cm="1">
        <f t="array" ref="M793">_xlfn.IFS(J793&lt;=500,"Low",J793&gt;=1500,"Mid",J793&lt;=1500,"High",TRUE,"no")</f>
        <v>Low</v>
      </c>
      <c r="N793" s="6"/>
      <c r="O793" s="6" t="str">
        <f t="shared" si="20"/>
        <v>Diana</v>
      </c>
    </row>
    <row r="794" spans="1:15" x14ac:dyDescent="0.3">
      <c r="A794" s="10">
        <v>793</v>
      </c>
      <c r="B794" s="18">
        <v>45719</v>
      </c>
      <c r="C794" s="6" t="s">
        <v>812</v>
      </c>
      <c r="D794" s="6" t="s">
        <v>3</v>
      </c>
      <c r="E794" s="6" t="s">
        <v>19</v>
      </c>
      <c r="F794" s="6">
        <v>30</v>
      </c>
      <c r="G794" s="6" t="s">
        <v>15</v>
      </c>
      <c r="H794" s="6">
        <v>1</v>
      </c>
      <c r="I794" s="6">
        <v>373</v>
      </c>
      <c r="J794" s="11">
        <v>373</v>
      </c>
      <c r="M794" s="6" t="str" cm="1">
        <f t="array" ref="M794">_xlfn.IFS(J794&lt;=500,"Low",J794&gt;=1500,"Mid",J794&lt;=1500,"High",TRUE,"no")</f>
        <v>Low</v>
      </c>
      <c r="N794" s="6"/>
      <c r="O794" s="6" t="str">
        <f t="shared" si="20"/>
        <v>Bob</v>
      </c>
    </row>
    <row r="795" spans="1:15" x14ac:dyDescent="0.3">
      <c r="A795" s="10">
        <v>794</v>
      </c>
      <c r="B795" s="18">
        <v>45720</v>
      </c>
      <c r="C795" s="6" t="s">
        <v>813</v>
      </c>
      <c r="D795" s="6" t="s">
        <v>2</v>
      </c>
      <c r="E795" s="6" t="s">
        <v>19</v>
      </c>
      <c r="F795" s="6">
        <v>44</v>
      </c>
      <c r="G795" s="6" t="s">
        <v>20</v>
      </c>
      <c r="H795" s="6">
        <v>2</v>
      </c>
      <c r="I795" s="6">
        <v>398</v>
      </c>
      <c r="J795" s="11">
        <v>796</v>
      </c>
      <c r="M795" s="6" t="str" cm="1">
        <f t="array" ref="M795">_xlfn.IFS(J795&lt;=500,"Low",J795&gt;=1500,"Mid",J795&lt;=1500,"High",TRUE,"no")</f>
        <v>High</v>
      </c>
      <c r="N795" s="6"/>
      <c r="O795" s="6" t="str">
        <f t="shared" si="20"/>
        <v>Diana</v>
      </c>
    </row>
    <row r="796" spans="1:15" x14ac:dyDescent="0.3">
      <c r="A796" s="10">
        <v>795</v>
      </c>
      <c r="B796" s="18">
        <v>45721</v>
      </c>
      <c r="C796" s="6" t="s">
        <v>814</v>
      </c>
      <c r="D796" s="6" t="s">
        <v>3</v>
      </c>
      <c r="E796" s="6" t="s">
        <v>14</v>
      </c>
      <c r="F796" s="6">
        <v>18</v>
      </c>
      <c r="G796" s="6" t="s">
        <v>20</v>
      </c>
      <c r="H796" s="6">
        <v>5</v>
      </c>
      <c r="I796" s="6">
        <v>326</v>
      </c>
      <c r="J796" s="11">
        <v>1630</v>
      </c>
      <c r="M796" s="6" t="str" cm="1">
        <f t="array" ref="M796">_xlfn.IFS(J796&lt;=500,"Low",J796&gt;=1500,"Mid",J796&lt;=1500,"High",TRUE,"no")</f>
        <v>Mid</v>
      </c>
      <c r="N796" s="6"/>
      <c r="O796" s="6" t="str">
        <f t="shared" si="20"/>
        <v>Bob</v>
      </c>
    </row>
    <row r="797" spans="1:15" x14ac:dyDescent="0.3">
      <c r="A797" s="10">
        <v>796</v>
      </c>
      <c r="B797" s="18">
        <v>45722</v>
      </c>
      <c r="C797" s="6" t="s">
        <v>815</v>
      </c>
      <c r="D797" s="6" t="s">
        <v>1</v>
      </c>
      <c r="E797" s="6" t="s">
        <v>19</v>
      </c>
      <c r="F797" s="6">
        <v>51</v>
      </c>
      <c r="G797" s="6" t="s">
        <v>20</v>
      </c>
      <c r="H797" s="6">
        <v>2</v>
      </c>
      <c r="I797" s="6">
        <v>180</v>
      </c>
      <c r="J797" s="11">
        <v>360</v>
      </c>
      <c r="M797" s="6" t="str" cm="1">
        <f t="array" ref="M797">_xlfn.IFS(J797&lt;=500,"Low",J797&gt;=1500,"Mid",J797&lt;=1500,"High",TRUE,"no")</f>
        <v>Low</v>
      </c>
      <c r="N797" s="6"/>
      <c r="O797" s="6" t="str">
        <f t="shared" si="20"/>
        <v>Charlie</v>
      </c>
    </row>
    <row r="798" spans="1:15" x14ac:dyDescent="0.3">
      <c r="A798" s="10">
        <v>797</v>
      </c>
      <c r="B798" s="18">
        <v>45723</v>
      </c>
      <c r="C798" s="6" t="s">
        <v>816</v>
      </c>
      <c r="D798" s="6" t="s">
        <v>1</v>
      </c>
      <c r="E798" s="6" t="s">
        <v>14</v>
      </c>
      <c r="F798" s="6">
        <v>43</v>
      </c>
      <c r="G798" s="6" t="s">
        <v>17</v>
      </c>
      <c r="H798" s="6">
        <v>1</v>
      </c>
      <c r="I798" s="6">
        <v>447</v>
      </c>
      <c r="J798" s="11">
        <v>447</v>
      </c>
      <c r="M798" s="6" t="str" cm="1">
        <f t="array" ref="M798">_xlfn.IFS(J798&lt;=500,"Low",J798&gt;=1500,"Mid",J798&lt;=1500,"High",TRUE,"no")</f>
        <v>Low</v>
      </c>
      <c r="N798" s="6"/>
      <c r="O798" s="6" t="str">
        <f t="shared" si="20"/>
        <v>Charlie</v>
      </c>
    </row>
    <row r="799" spans="1:15" x14ac:dyDescent="0.3">
      <c r="A799" s="10">
        <v>798</v>
      </c>
      <c r="B799" s="18">
        <v>45724</v>
      </c>
      <c r="C799" s="6" t="s">
        <v>817</v>
      </c>
      <c r="D799" s="6" t="s">
        <v>4</v>
      </c>
      <c r="E799" s="6" t="s">
        <v>19</v>
      </c>
      <c r="F799" s="6">
        <v>41</v>
      </c>
      <c r="G799" s="6" t="s">
        <v>27</v>
      </c>
      <c r="H799" s="6">
        <v>5</v>
      </c>
      <c r="I799" s="6">
        <v>398</v>
      </c>
      <c r="J799" s="11">
        <v>1990</v>
      </c>
      <c r="M799" s="6" t="str" cm="1">
        <f t="array" ref="M799">_xlfn.IFS(J799&lt;=500,"Low",J799&gt;=1500,"Mid",J799&lt;=1500,"High",TRUE,"no")</f>
        <v>Mid</v>
      </c>
      <c r="N799" s="6"/>
      <c r="O799" s="6" t="str">
        <f t="shared" si="20"/>
        <v>Alice</v>
      </c>
    </row>
    <row r="800" spans="1:15" x14ac:dyDescent="0.3">
      <c r="A800" s="10">
        <v>799</v>
      </c>
      <c r="B800" s="18">
        <v>45725</v>
      </c>
      <c r="C800" s="6" t="s">
        <v>818</v>
      </c>
      <c r="D800" s="6" t="s">
        <v>1</v>
      </c>
      <c r="E800" s="6" t="s">
        <v>14</v>
      </c>
      <c r="F800" s="6">
        <v>46</v>
      </c>
      <c r="G800" s="6" t="s">
        <v>17</v>
      </c>
      <c r="H800" s="6">
        <v>1</v>
      </c>
      <c r="I800" s="6">
        <v>158</v>
      </c>
      <c r="J800" s="11">
        <v>158</v>
      </c>
      <c r="M800" s="6" t="str" cm="1">
        <f t="array" ref="M800">_xlfn.IFS(J800&lt;=500,"Low",J800&gt;=1500,"Mid",J800&lt;=1500,"High",TRUE,"no")</f>
        <v>Low</v>
      </c>
      <c r="N800" s="6"/>
      <c r="O800" s="6" t="str">
        <f t="shared" si="20"/>
        <v>Charlie</v>
      </c>
    </row>
    <row r="801" spans="1:15" x14ac:dyDescent="0.3">
      <c r="A801" s="10">
        <v>800</v>
      </c>
      <c r="B801" s="18">
        <v>45726</v>
      </c>
      <c r="C801" s="6" t="s">
        <v>819</v>
      </c>
      <c r="D801" s="6" t="s">
        <v>4</v>
      </c>
      <c r="E801" s="6" t="s">
        <v>14</v>
      </c>
      <c r="F801" s="6">
        <v>59</v>
      </c>
      <c r="G801" s="6" t="s">
        <v>20</v>
      </c>
      <c r="H801" s="6">
        <v>1</v>
      </c>
      <c r="I801" s="6">
        <v>208</v>
      </c>
      <c r="J801" s="11">
        <v>208</v>
      </c>
      <c r="M801" s="6" t="str" cm="1">
        <f t="array" ref="M801">_xlfn.IFS(J801&lt;=500,"Low",J801&gt;=1500,"Mid",J801&lt;=1500,"High",TRUE,"no")</f>
        <v>Low</v>
      </c>
      <c r="N801" s="6"/>
      <c r="O801" s="6" t="str">
        <f t="shared" si="20"/>
        <v>Alice</v>
      </c>
    </row>
    <row r="802" spans="1:15" x14ac:dyDescent="0.3">
      <c r="A802" s="10">
        <v>801</v>
      </c>
      <c r="B802" s="18">
        <v>45727</v>
      </c>
      <c r="C802" s="6" t="s">
        <v>820</v>
      </c>
      <c r="D802" s="6" t="s">
        <v>3</v>
      </c>
      <c r="E802" s="6" t="s">
        <v>19</v>
      </c>
      <c r="F802" s="6">
        <v>20</v>
      </c>
      <c r="G802" s="6" t="s">
        <v>20</v>
      </c>
      <c r="H802" s="6">
        <v>4</v>
      </c>
      <c r="I802" s="6">
        <v>21</v>
      </c>
      <c r="J802" s="11">
        <v>84</v>
      </c>
      <c r="M802" s="6" t="str" cm="1">
        <f t="array" ref="M802">_xlfn.IFS(J802&lt;=500,"Low",J802&gt;=1500,"Mid",J802&lt;=1500,"High",TRUE,"no")</f>
        <v>Low</v>
      </c>
      <c r="N802" s="6"/>
      <c r="O802" s="6" t="str">
        <f t="shared" si="20"/>
        <v>Bob</v>
      </c>
    </row>
    <row r="803" spans="1:15" x14ac:dyDescent="0.3">
      <c r="A803" s="10">
        <v>802</v>
      </c>
      <c r="B803" s="18">
        <v>45728</v>
      </c>
      <c r="C803" s="6" t="s">
        <v>821</v>
      </c>
      <c r="D803" s="6" t="s">
        <v>2</v>
      </c>
      <c r="E803" s="6" t="s">
        <v>19</v>
      </c>
      <c r="F803" s="6">
        <v>59</v>
      </c>
      <c r="G803" s="6" t="s">
        <v>17</v>
      </c>
      <c r="H803" s="6">
        <v>5</v>
      </c>
      <c r="I803" s="6">
        <v>145</v>
      </c>
      <c r="J803" s="11">
        <v>725</v>
      </c>
      <c r="M803" s="6" t="str" cm="1">
        <f t="array" ref="M803">_xlfn.IFS(J803&lt;=500,"Low",J803&gt;=1500,"Mid",J803&lt;=1500,"High",TRUE,"no")</f>
        <v>High</v>
      </c>
      <c r="N803" s="6"/>
      <c r="O803" s="6" t="str">
        <f t="shared" si="20"/>
        <v>Diana</v>
      </c>
    </row>
    <row r="804" spans="1:15" x14ac:dyDescent="0.3">
      <c r="A804" s="10">
        <v>803</v>
      </c>
      <c r="B804" s="18">
        <v>45729</v>
      </c>
      <c r="C804" s="6" t="s">
        <v>822</v>
      </c>
      <c r="D804" s="6" t="s">
        <v>1</v>
      </c>
      <c r="E804" s="6" t="s">
        <v>19</v>
      </c>
      <c r="F804" s="6">
        <v>44</v>
      </c>
      <c r="G804" s="6" t="s">
        <v>17</v>
      </c>
      <c r="H804" s="6">
        <v>4</v>
      </c>
      <c r="I804" s="6">
        <v>494</v>
      </c>
      <c r="J804" s="11">
        <v>1976</v>
      </c>
      <c r="M804" s="6" t="str" cm="1">
        <f t="array" ref="M804">_xlfn.IFS(J804&lt;=500,"Low",J804&gt;=1500,"Mid",J804&lt;=1500,"High",TRUE,"no")</f>
        <v>Mid</v>
      </c>
      <c r="N804" s="6"/>
      <c r="O804" s="6" t="str">
        <f t="shared" si="20"/>
        <v>Charlie</v>
      </c>
    </row>
    <row r="805" spans="1:15" x14ac:dyDescent="0.3">
      <c r="A805" s="10">
        <v>804</v>
      </c>
      <c r="B805" s="18">
        <v>45730</v>
      </c>
      <c r="C805" s="6" t="s">
        <v>823</v>
      </c>
      <c r="D805" s="6" t="s">
        <v>1</v>
      </c>
      <c r="E805" s="6" t="s">
        <v>14</v>
      </c>
      <c r="F805" s="6">
        <v>22</v>
      </c>
      <c r="G805" s="6" t="s">
        <v>17</v>
      </c>
      <c r="H805" s="6">
        <v>4</v>
      </c>
      <c r="I805" s="6">
        <v>352</v>
      </c>
      <c r="J805" s="11">
        <v>1408</v>
      </c>
      <c r="M805" s="6" t="str" cm="1">
        <f t="array" ref="M805">_xlfn.IFS(J805&lt;=500,"Low",J805&gt;=1500,"Mid",J805&lt;=1500,"High",TRUE,"no")</f>
        <v>High</v>
      </c>
      <c r="N805" s="6"/>
      <c r="O805" s="6" t="str">
        <f t="shared" si="20"/>
        <v>Charlie</v>
      </c>
    </row>
    <row r="806" spans="1:15" x14ac:dyDescent="0.3">
      <c r="A806" s="10">
        <v>805</v>
      </c>
      <c r="B806" s="18">
        <v>45731</v>
      </c>
      <c r="C806" s="6" t="s">
        <v>824</v>
      </c>
      <c r="D806" s="6" t="s">
        <v>1</v>
      </c>
      <c r="E806" s="6" t="s">
        <v>19</v>
      </c>
      <c r="F806" s="6">
        <v>39</v>
      </c>
      <c r="G806" s="6" t="s">
        <v>15</v>
      </c>
      <c r="H806" s="6">
        <v>3</v>
      </c>
      <c r="I806" s="6">
        <v>111</v>
      </c>
      <c r="J806" s="11">
        <v>333</v>
      </c>
      <c r="M806" s="6" t="str" cm="1">
        <f t="array" ref="M806">_xlfn.IFS(J806&lt;=500,"Low",J806&gt;=1500,"Mid",J806&lt;=1500,"High",TRUE,"no")</f>
        <v>Low</v>
      </c>
      <c r="N806" s="6"/>
      <c r="O806" s="6" t="str">
        <f t="shared" si="20"/>
        <v>Charlie</v>
      </c>
    </row>
    <row r="807" spans="1:15" x14ac:dyDescent="0.3">
      <c r="A807" s="10">
        <v>806</v>
      </c>
      <c r="B807" s="18">
        <v>45732</v>
      </c>
      <c r="C807" s="6" t="s">
        <v>825</v>
      </c>
      <c r="D807" s="6" t="s">
        <v>3</v>
      </c>
      <c r="E807" s="6" t="s">
        <v>19</v>
      </c>
      <c r="F807" s="6">
        <v>26</v>
      </c>
      <c r="G807" s="6" t="s">
        <v>20</v>
      </c>
      <c r="H807" s="6">
        <v>2</v>
      </c>
      <c r="I807" s="6">
        <v>493</v>
      </c>
      <c r="J807" s="11">
        <v>986</v>
      </c>
      <c r="M807" s="6" t="str" cm="1">
        <f t="array" ref="M807">_xlfn.IFS(J807&lt;=500,"Low",J807&gt;=1500,"Mid",J807&lt;=1500,"High",TRUE,"no")</f>
        <v>High</v>
      </c>
      <c r="N807" s="6"/>
      <c r="O807" s="6" t="str">
        <f t="shared" si="20"/>
        <v>Bob</v>
      </c>
    </row>
    <row r="808" spans="1:15" x14ac:dyDescent="0.3">
      <c r="A808" s="10">
        <v>807</v>
      </c>
      <c r="B808" s="18">
        <v>45733</v>
      </c>
      <c r="C808" s="6" t="s">
        <v>826</v>
      </c>
      <c r="D808" s="6" t="s">
        <v>4</v>
      </c>
      <c r="E808" s="6" t="s">
        <v>19</v>
      </c>
      <c r="F808" s="6">
        <v>55</v>
      </c>
      <c r="G808" s="6" t="s">
        <v>27</v>
      </c>
      <c r="H808" s="6">
        <v>1</v>
      </c>
      <c r="I808" s="6">
        <v>83</v>
      </c>
      <c r="J808" s="11">
        <v>83</v>
      </c>
      <c r="M808" s="6" t="str" cm="1">
        <f t="array" ref="M808">_xlfn.IFS(J808&lt;=500,"Low",J808&gt;=1500,"Mid",J808&lt;=1500,"High",TRUE,"no")</f>
        <v>Low</v>
      </c>
      <c r="N808" s="6"/>
      <c r="O808" s="6" t="str">
        <f t="shared" si="20"/>
        <v>Alice</v>
      </c>
    </row>
    <row r="809" spans="1:15" x14ac:dyDescent="0.3">
      <c r="A809" s="10">
        <v>808</v>
      </c>
      <c r="B809" s="18">
        <v>45734</v>
      </c>
      <c r="C809" s="6" t="s">
        <v>827</v>
      </c>
      <c r="D809" s="6" t="s">
        <v>3</v>
      </c>
      <c r="E809" s="6" t="s">
        <v>14</v>
      </c>
      <c r="F809" s="6">
        <v>30</v>
      </c>
      <c r="G809" s="6" t="s">
        <v>17</v>
      </c>
      <c r="H809" s="6">
        <v>4</v>
      </c>
      <c r="I809" s="6">
        <v>48</v>
      </c>
      <c r="J809" s="11">
        <v>192</v>
      </c>
      <c r="M809" s="6" t="str" cm="1">
        <f t="array" ref="M809">_xlfn.IFS(J809&lt;=500,"Low",J809&gt;=1500,"Mid",J809&lt;=1500,"High",TRUE,"no")</f>
        <v>Low</v>
      </c>
      <c r="N809" s="6"/>
      <c r="O809" s="6" t="str">
        <f t="shared" si="20"/>
        <v>Bob</v>
      </c>
    </row>
    <row r="810" spans="1:15" x14ac:dyDescent="0.3">
      <c r="A810" s="10">
        <v>809</v>
      </c>
      <c r="B810" s="18">
        <v>45735</v>
      </c>
      <c r="C810" s="6" t="s">
        <v>828</v>
      </c>
      <c r="D810" s="6" t="s">
        <v>2</v>
      </c>
      <c r="E810" s="6" t="s">
        <v>19</v>
      </c>
      <c r="F810" s="6">
        <v>58</v>
      </c>
      <c r="G810" s="6" t="s">
        <v>20</v>
      </c>
      <c r="H810" s="6">
        <v>3</v>
      </c>
      <c r="I810" s="6">
        <v>389</v>
      </c>
      <c r="J810" s="11">
        <v>1167</v>
      </c>
      <c r="M810" s="6" t="str" cm="1">
        <f t="array" ref="M810">_xlfn.IFS(J810&lt;=500,"Low",J810&gt;=1500,"Mid",J810&lt;=1500,"High",TRUE,"no")</f>
        <v>High</v>
      </c>
      <c r="N810" s="6"/>
      <c r="O810" s="6" t="str">
        <f t="shared" si="20"/>
        <v>Diana</v>
      </c>
    </row>
    <row r="811" spans="1:15" x14ac:dyDescent="0.3">
      <c r="A811" s="10">
        <v>810</v>
      </c>
      <c r="B811" s="18">
        <v>45736</v>
      </c>
      <c r="C811" s="6" t="s">
        <v>829</v>
      </c>
      <c r="D811" s="6" t="s">
        <v>3</v>
      </c>
      <c r="E811" s="6" t="s">
        <v>19</v>
      </c>
      <c r="F811" s="6">
        <v>29</v>
      </c>
      <c r="G811" s="6" t="s">
        <v>17</v>
      </c>
      <c r="H811" s="6">
        <v>5</v>
      </c>
      <c r="I811" s="6">
        <v>378</v>
      </c>
      <c r="J811" s="11">
        <v>1890</v>
      </c>
      <c r="M811" s="6" t="str" cm="1">
        <f t="array" ref="M811">_xlfn.IFS(J811&lt;=500,"Low",J811&gt;=1500,"Mid",J811&lt;=1500,"High",TRUE,"no")</f>
        <v>Mid</v>
      </c>
      <c r="N811" s="6"/>
      <c r="O811" s="6" t="str">
        <f t="shared" si="20"/>
        <v>Bob</v>
      </c>
    </row>
    <row r="812" spans="1:15" x14ac:dyDescent="0.3">
      <c r="A812" s="10">
        <v>811</v>
      </c>
      <c r="B812" s="18">
        <v>45737</v>
      </c>
      <c r="C812" s="6" t="s">
        <v>830</v>
      </c>
      <c r="D812" s="6" t="s">
        <v>2</v>
      </c>
      <c r="E812" s="6" t="s">
        <v>19</v>
      </c>
      <c r="F812" s="6">
        <v>18</v>
      </c>
      <c r="G812" s="6" t="s">
        <v>15</v>
      </c>
      <c r="H812" s="6">
        <v>5</v>
      </c>
      <c r="I812" s="6">
        <v>498</v>
      </c>
      <c r="J812" s="11">
        <v>2490</v>
      </c>
      <c r="M812" s="6" t="str" cm="1">
        <f t="array" ref="M812">_xlfn.IFS(J812&lt;=500,"Low",J812&gt;=1500,"Mid",J812&lt;=1500,"High",TRUE,"no")</f>
        <v>Mid</v>
      </c>
      <c r="N812" s="6"/>
      <c r="O812" s="6" t="str">
        <f t="shared" si="20"/>
        <v>Diana</v>
      </c>
    </row>
    <row r="813" spans="1:15" x14ac:dyDescent="0.3">
      <c r="A813" s="10">
        <v>812</v>
      </c>
      <c r="B813" s="18">
        <v>45738</v>
      </c>
      <c r="C813" s="6" t="s">
        <v>831</v>
      </c>
      <c r="D813" s="6" t="s">
        <v>1</v>
      </c>
      <c r="E813" s="6" t="s">
        <v>14</v>
      </c>
      <c r="F813" s="6">
        <v>42</v>
      </c>
      <c r="G813" s="6" t="s">
        <v>20</v>
      </c>
      <c r="H813" s="6">
        <v>4</v>
      </c>
      <c r="I813" s="6">
        <v>476</v>
      </c>
      <c r="J813" s="11">
        <v>1904</v>
      </c>
      <c r="M813" s="6" t="str" cm="1">
        <f t="array" ref="M813">_xlfn.IFS(J813&lt;=500,"Low",J813&gt;=1500,"Mid",J813&lt;=1500,"High",TRUE,"no")</f>
        <v>Mid</v>
      </c>
      <c r="N813" s="6"/>
      <c r="O813" s="6" t="str">
        <f t="shared" si="20"/>
        <v>Charlie</v>
      </c>
    </row>
    <row r="814" spans="1:15" x14ac:dyDescent="0.3">
      <c r="A814" s="10">
        <v>813</v>
      </c>
      <c r="B814" s="18">
        <v>45739</v>
      </c>
      <c r="C814" s="6" t="s">
        <v>832</v>
      </c>
      <c r="D814" s="6" t="s">
        <v>2</v>
      </c>
      <c r="E814" s="6" t="s">
        <v>14</v>
      </c>
      <c r="F814" s="6">
        <v>25</v>
      </c>
      <c r="G814" s="6" t="s">
        <v>15</v>
      </c>
      <c r="H814" s="6">
        <v>5</v>
      </c>
      <c r="I814" s="6">
        <v>393</v>
      </c>
      <c r="J814" s="11">
        <v>1965</v>
      </c>
      <c r="M814" s="6" t="str" cm="1">
        <f t="array" ref="M814">_xlfn.IFS(J814&lt;=500,"Low",J814&gt;=1500,"Mid",J814&lt;=1500,"High",TRUE,"no")</f>
        <v>Mid</v>
      </c>
      <c r="N814" s="6"/>
      <c r="O814" s="6" t="str">
        <f t="shared" si="20"/>
        <v>Diana</v>
      </c>
    </row>
    <row r="815" spans="1:15" x14ac:dyDescent="0.3">
      <c r="A815" s="10">
        <v>814</v>
      </c>
      <c r="B815" s="18">
        <v>45740</v>
      </c>
      <c r="C815" s="6" t="s">
        <v>833</v>
      </c>
      <c r="D815" s="6" t="s">
        <v>2</v>
      </c>
      <c r="E815" s="6" t="s">
        <v>19</v>
      </c>
      <c r="F815" s="6">
        <v>31</v>
      </c>
      <c r="G815" s="6" t="s">
        <v>17</v>
      </c>
      <c r="H815" s="6">
        <v>2</v>
      </c>
      <c r="I815" s="6">
        <v>27</v>
      </c>
      <c r="J815" s="11">
        <v>54</v>
      </c>
      <c r="M815" s="6" t="str" cm="1">
        <f t="array" ref="M815">_xlfn.IFS(J815&lt;=500,"Low",J815&gt;=1500,"Mid",J815&lt;=1500,"High",TRUE,"no")</f>
        <v>Low</v>
      </c>
      <c r="N815" s="6"/>
      <c r="O815" s="6" t="str">
        <f t="shared" si="20"/>
        <v>Diana</v>
      </c>
    </row>
    <row r="816" spans="1:15" x14ac:dyDescent="0.3">
      <c r="A816" s="10">
        <v>815</v>
      </c>
      <c r="B816" s="18">
        <v>45741</v>
      </c>
      <c r="C816" s="6" t="s">
        <v>834</v>
      </c>
      <c r="D816" s="6" t="s">
        <v>4</v>
      </c>
      <c r="E816" s="6" t="s">
        <v>14</v>
      </c>
      <c r="F816" s="6">
        <v>18</v>
      </c>
      <c r="G816" s="6" t="s">
        <v>15</v>
      </c>
      <c r="H816" s="6">
        <v>5</v>
      </c>
      <c r="I816" s="6">
        <v>334</v>
      </c>
      <c r="J816" s="11">
        <v>1670</v>
      </c>
      <c r="M816" s="6" t="str" cm="1">
        <f t="array" ref="M816">_xlfn.IFS(J816&lt;=500,"Low",J816&gt;=1500,"Mid",J816&lt;=1500,"High",TRUE,"no")</f>
        <v>Mid</v>
      </c>
      <c r="N816" s="6"/>
      <c r="O816" s="6" t="str">
        <f t="shared" si="20"/>
        <v>Alice</v>
      </c>
    </row>
    <row r="817" spans="1:15" x14ac:dyDescent="0.3">
      <c r="A817" s="10">
        <v>816</v>
      </c>
      <c r="B817" s="18">
        <v>45742</v>
      </c>
      <c r="C817" s="6" t="s">
        <v>835</v>
      </c>
      <c r="D817" s="6" t="s">
        <v>2</v>
      </c>
      <c r="E817" s="6" t="s">
        <v>19</v>
      </c>
      <c r="F817" s="6">
        <v>46</v>
      </c>
      <c r="G817" s="6" t="s">
        <v>15</v>
      </c>
      <c r="H817" s="6">
        <v>5</v>
      </c>
      <c r="I817" s="6">
        <v>114</v>
      </c>
      <c r="J817" s="11">
        <v>570</v>
      </c>
      <c r="M817" s="6" t="str" cm="1">
        <f t="array" ref="M817">_xlfn.IFS(J817&lt;=500,"Low",J817&gt;=1500,"Mid",J817&lt;=1500,"High",TRUE,"no")</f>
        <v>High</v>
      </c>
      <c r="N817" s="6"/>
      <c r="O817" s="6" t="str">
        <f t="shared" si="20"/>
        <v>Diana</v>
      </c>
    </row>
    <row r="818" spans="1:15" x14ac:dyDescent="0.3">
      <c r="A818" s="10">
        <v>817</v>
      </c>
      <c r="B818" s="18">
        <v>45743</v>
      </c>
      <c r="C818" s="6" t="s">
        <v>836</v>
      </c>
      <c r="D818" s="6" t="s">
        <v>2</v>
      </c>
      <c r="E818" s="6" t="s">
        <v>14</v>
      </c>
      <c r="F818" s="6">
        <v>60</v>
      </c>
      <c r="G818" s="6" t="s">
        <v>23</v>
      </c>
      <c r="H818" s="6">
        <v>1</v>
      </c>
      <c r="I818" s="6">
        <v>90</v>
      </c>
      <c r="J818" s="11">
        <v>90</v>
      </c>
      <c r="M818" s="6" t="str" cm="1">
        <f t="array" ref="M818">_xlfn.IFS(J818&lt;=500,"Low",J818&gt;=1500,"Mid",J818&lt;=1500,"High",TRUE,"no")</f>
        <v>Low</v>
      </c>
      <c r="N818" s="6"/>
      <c r="O818" s="6" t="str">
        <f t="shared" si="20"/>
        <v>Diana</v>
      </c>
    </row>
    <row r="819" spans="1:15" x14ac:dyDescent="0.3">
      <c r="A819" s="10">
        <v>818</v>
      </c>
      <c r="B819" s="18">
        <v>45744</v>
      </c>
      <c r="C819" s="6" t="s">
        <v>837</v>
      </c>
      <c r="D819" s="6" t="s">
        <v>3</v>
      </c>
      <c r="E819" s="6" t="s">
        <v>19</v>
      </c>
      <c r="F819" s="6">
        <v>25</v>
      </c>
      <c r="G819" s="6" t="s">
        <v>27</v>
      </c>
      <c r="H819" s="6">
        <v>4</v>
      </c>
      <c r="I819" s="6">
        <v>295</v>
      </c>
      <c r="J819" s="11">
        <v>1180</v>
      </c>
      <c r="M819" s="6" t="str" cm="1">
        <f t="array" ref="M819">_xlfn.IFS(J819&lt;=500,"Low",J819&gt;=1500,"Mid",J819&lt;=1500,"High",TRUE,"no")</f>
        <v>High</v>
      </c>
      <c r="N819" s="6"/>
      <c r="O819" s="6" t="str">
        <f t="shared" si="20"/>
        <v>Bob</v>
      </c>
    </row>
    <row r="820" spans="1:15" x14ac:dyDescent="0.3">
      <c r="A820" s="10">
        <v>819</v>
      </c>
      <c r="B820" s="18">
        <v>45745</v>
      </c>
      <c r="C820" s="6" t="s">
        <v>838</v>
      </c>
      <c r="D820" s="6" t="s">
        <v>1</v>
      </c>
      <c r="E820" s="6" t="s">
        <v>14</v>
      </c>
      <c r="F820" s="6">
        <v>50</v>
      </c>
      <c r="G820" s="6" t="s">
        <v>20</v>
      </c>
      <c r="H820" s="6">
        <v>3</v>
      </c>
      <c r="I820" s="6">
        <v>140</v>
      </c>
      <c r="J820" s="11">
        <v>420</v>
      </c>
      <c r="M820" s="6" t="str" cm="1">
        <f t="array" ref="M820">_xlfn.IFS(J820&lt;=500,"Low",J820&gt;=1500,"Mid",J820&lt;=1500,"High",TRUE,"no")</f>
        <v>Low</v>
      </c>
      <c r="N820" s="6"/>
      <c r="O820" s="6" t="str">
        <f t="shared" si="20"/>
        <v>Charlie</v>
      </c>
    </row>
    <row r="821" spans="1:15" x14ac:dyDescent="0.3">
      <c r="A821" s="10">
        <v>820</v>
      </c>
      <c r="B821" s="18">
        <v>45746</v>
      </c>
      <c r="C821" s="6" t="s">
        <v>839</v>
      </c>
      <c r="D821" s="6" t="s">
        <v>3</v>
      </c>
      <c r="E821" s="6" t="s">
        <v>19</v>
      </c>
      <c r="F821" s="6">
        <v>55</v>
      </c>
      <c r="G821" s="6" t="s">
        <v>17</v>
      </c>
      <c r="H821" s="6">
        <v>5</v>
      </c>
      <c r="I821" s="6">
        <v>107</v>
      </c>
      <c r="J821" s="11">
        <v>535</v>
      </c>
      <c r="M821" s="6" t="str" cm="1">
        <f t="array" ref="M821">_xlfn.IFS(J821&lt;=500,"Low",J821&gt;=1500,"Mid",J821&lt;=1500,"High",TRUE,"no")</f>
        <v>High</v>
      </c>
      <c r="N821" s="6"/>
      <c r="O821" s="6" t="str">
        <f t="shared" si="20"/>
        <v>Bob</v>
      </c>
    </row>
    <row r="822" spans="1:15" x14ac:dyDescent="0.3">
      <c r="A822" s="10">
        <v>821</v>
      </c>
      <c r="B822" s="18">
        <v>45747</v>
      </c>
      <c r="C822" s="6" t="s">
        <v>840</v>
      </c>
      <c r="D822" s="6" t="s">
        <v>3</v>
      </c>
      <c r="E822" s="6" t="s">
        <v>19</v>
      </c>
      <c r="F822" s="6">
        <v>40</v>
      </c>
      <c r="G822" s="6" t="s">
        <v>20</v>
      </c>
      <c r="H822" s="6">
        <v>2</v>
      </c>
      <c r="I822" s="6">
        <v>315</v>
      </c>
      <c r="J822" s="11">
        <v>630</v>
      </c>
      <c r="M822" s="6" t="str" cm="1">
        <f t="array" ref="M822">_xlfn.IFS(J822&lt;=500,"Low",J822&gt;=1500,"Mid",J822&lt;=1500,"High",TRUE,"no")</f>
        <v>High</v>
      </c>
      <c r="N822" s="6"/>
      <c r="O822" s="6" t="str">
        <f t="shared" si="20"/>
        <v>Bob</v>
      </c>
    </row>
    <row r="823" spans="1:15" x14ac:dyDescent="0.3">
      <c r="A823" s="10">
        <v>822</v>
      </c>
      <c r="B823" s="18">
        <v>45748</v>
      </c>
      <c r="C823" s="6" t="s">
        <v>841</v>
      </c>
      <c r="D823" s="6" t="s">
        <v>1</v>
      </c>
      <c r="E823" s="6" t="s">
        <v>19</v>
      </c>
      <c r="F823" s="6">
        <v>38</v>
      </c>
      <c r="G823" s="6" t="s">
        <v>27</v>
      </c>
      <c r="H823" s="6">
        <v>5</v>
      </c>
      <c r="I823" s="6">
        <v>271</v>
      </c>
      <c r="J823" s="11">
        <v>1355</v>
      </c>
      <c r="M823" s="6" t="str" cm="1">
        <f t="array" ref="M823">_xlfn.IFS(J823&lt;=500,"Low",J823&gt;=1500,"Mid",J823&lt;=1500,"High",TRUE,"no")</f>
        <v>High</v>
      </c>
      <c r="N823" s="6"/>
      <c r="O823" s="6" t="str">
        <f t="shared" si="20"/>
        <v>Charlie</v>
      </c>
    </row>
    <row r="824" spans="1:15" x14ac:dyDescent="0.3">
      <c r="A824" s="10">
        <v>823</v>
      </c>
      <c r="B824" s="18">
        <v>45749</v>
      </c>
      <c r="C824" s="6" t="s">
        <v>842</v>
      </c>
      <c r="D824" s="6" t="s">
        <v>1</v>
      </c>
      <c r="E824" s="6" t="s">
        <v>19</v>
      </c>
      <c r="F824" s="6">
        <v>27</v>
      </c>
      <c r="G824" s="6" t="s">
        <v>27</v>
      </c>
      <c r="H824" s="6">
        <v>4</v>
      </c>
      <c r="I824" s="6">
        <v>453</v>
      </c>
      <c r="J824" s="11">
        <v>1812</v>
      </c>
      <c r="M824" s="6" t="str" cm="1">
        <f t="array" ref="M824">_xlfn.IFS(J824&lt;=500,"Low",J824&gt;=1500,"Mid",J824&lt;=1500,"High",TRUE,"no")</f>
        <v>Mid</v>
      </c>
      <c r="N824" s="6"/>
      <c r="O824" s="6" t="str">
        <f t="shared" si="20"/>
        <v>Charlie</v>
      </c>
    </row>
    <row r="825" spans="1:15" x14ac:dyDescent="0.3">
      <c r="A825" s="10">
        <v>824</v>
      </c>
      <c r="B825" s="18">
        <v>45750</v>
      </c>
      <c r="C825" s="6" t="s">
        <v>843</v>
      </c>
      <c r="D825" s="6" t="s">
        <v>2</v>
      </c>
      <c r="E825" s="6" t="s">
        <v>19</v>
      </c>
      <c r="F825" s="6">
        <v>48</v>
      </c>
      <c r="G825" s="6" t="s">
        <v>23</v>
      </c>
      <c r="H825" s="6">
        <v>4</v>
      </c>
      <c r="I825" s="6">
        <v>183</v>
      </c>
      <c r="J825" s="11">
        <v>732</v>
      </c>
      <c r="M825" s="6" t="str" cm="1">
        <f t="array" ref="M825">_xlfn.IFS(J825&lt;=500,"Low",J825&gt;=1500,"Mid",J825&lt;=1500,"High",TRUE,"no")</f>
        <v>High</v>
      </c>
      <c r="N825" s="6"/>
      <c r="O825" s="6" t="str">
        <f t="shared" si="20"/>
        <v>Diana</v>
      </c>
    </row>
    <row r="826" spans="1:15" x14ac:dyDescent="0.3">
      <c r="A826" s="10">
        <v>825</v>
      </c>
      <c r="B826" s="18">
        <v>45751</v>
      </c>
      <c r="C826" s="6" t="s">
        <v>844</v>
      </c>
      <c r="D826" s="6" t="s">
        <v>2</v>
      </c>
      <c r="E826" s="6" t="s">
        <v>14</v>
      </c>
      <c r="F826" s="6">
        <v>22</v>
      </c>
      <c r="G826" s="6" t="s">
        <v>17</v>
      </c>
      <c r="H826" s="6">
        <v>4</v>
      </c>
      <c r="I826" s="6">
        <v>342</v>
      </c>
      <c r="J826" s="11">
        <v>1368</v>
      </c>
      <c r="M826" s="6" t="str" cm="1">
        <f t="array" ref="M826">_xlfn.IFS(J826&lt;=500,"Low",J826&gt;=1500,"Mid",J826&lt;=1500,"High",TRUE,"no")</f>
        <v>High</v>
      </c>
      <c r="N826" s="6"/>
      <c r="O826" s="6" t="str">
        <f t="shared" si="20"/>
        <v>Diana</v>
      </c>
    </row>
    <row r="827" spans="1:15" x14ac:dyDescent="0.3">
      <c r="A827" s="10">
        <v>826</v>
      </c>
      <c r="B827" s="18">
        <v>45752</v>
      </c>
      <c r="C827" s="6" t="s">
        <v>845</v>
      </c>
      <c r="D827" s="6" t="s">
        <v>4</v>
      </c>
      <c r="E827" s="6" t="s">
        <v>14</v>
      </c>
      <c r="F827" s="6">
        <v>32</v>
      </c>
      <c r="G827" s="6" t="s">
        <v>27</v>
      </c>
      <c r="H827" s="6">
        <v>2</v>
      </c>
      <c r="I827" s="6">
        <v>64</v>
      </c>
      <c r="J827" s="11">
        <v>128</v>
      </c>
      <c r="M827" s="6" t="str" cm="1">
        <f t="array" ref="M827">_xlfn.IFS(J827&lt;=500,"Low",J827&gt;=1500,"Mid",J827&lt;=1500,"High",TRUE,"no")</f>
        <v>Low</v>
      </c>
      <c r="N827" s="6"/>
      <c r="O827" s="6" t="str">
        <f t="shared" si="20"/>
        <v>Alice</v>
      </c>
    </row>
    <row r="828" spans="1:15" x14ac:dyDescent="0.3">
      <c r="A828" s="10">
        <v>827</v>
      </c>
      <c r="B828" s="18">
        <v>45753</v>
      </c>
      <c r="C828" s="6" t="s">
        <v>846</v>
      </c>
      <c r="D828" s="6" t="s">
        <v>3</v>
      </c>
      <c r="E828" s="6" t="s">
        <v>14</v>
      </c>
      <c r="F828" s="6">
        <v>28</v>
      </c>
      <c r="G828" s="6" t="s">
        <v>27</v>
      </c>
      <c r="H828" s="6">
        <v>5</v>
      </c>
      <c r="I828" s="6">
        <v>225</v>
      </c>
      <c r="J828" s="11">
        <v>1125</v>
      </c>
      <c r="M828" s="6" t="str" cm="1">
        <f t="array" ref="M828">_xlfn.IFS(J828&lt;=500,"Low",J828&gt;=1500,"Mid",J828&lt;=1500,"High",TRUE,"no")</f>
        <v>High</v>
      </c>
      <c r="N828" s="6"/>
      <c r="O828" s="6" t="str">
        <f t="shared" si="20"/>
        <v>Bob</v>
      </c>
    </row>
    <row r="829" spans="1:15" x14ac:dyDescent="0.3">
      <c r="A829" s="10">
        <v>828</v>
      </c>
      <c r="B829" s="18">
        <v>45754</v>
      </c>
      <c r="C829" s="6" t="s">
        <v>847</v>
      </c>
      <c r="D829" s="6" t="s">
        <v>1</v>
      </c>
      <c r="E829" s="6" t="s">
        <v>19</v>
      </c>
      <c r="F829" s="6">
        <v>41</v>
      </c>
      <c r="G829" s="6" t="s">
        <v>17</v>
      </c>
      <c r="H829" s="6">
        <v>4</v>
      </c>
      <c r="I829" s="6">
        <v>427</v>
      </c>
      <c r="J829" s="11">
        <v>1708</v>
      </c>
      <c r="M829" s="6" t="str" cm="1">
        <f t="array" ref="M829">_xlfn.IFS(J829&lt;=500,"Low",J829&gt;=1500,"Mid",J829&lt;=1500,"High",TRUE,"no")</f>
        <v>Mid</v>
      </c>
      <c r="N829" s="6"/>
      <c r="O829" s="6" t="str">
        <f t="shared" si="20"/>
        <v>Charlie</v>
      </c>
    </row>
    <row r="830" spans="1:15" x14ac:dyDescent="0.3">
      <c r="A830" s="10">
        <v>829</v>
      </c>
      <c r="B830" s="18">
        <v>45755</v>
      </c>
      <c r="C830" s="6" t="s">
        <v>848</v>
      </c>
      <c r="D830" s="6" t="s">
        <v>2</v>
      </c>
      <c r="E830" s="6" t="s">
        <v>14</v>
      </c>
      <c r="F830" s="6">
        <v>37</v>
      </c>
      <c r="G830" s="6" t="s">
        <v>20</v>
      </c>
      <c r="H830" s="6">
        <v>1</v>
      </c>
      <c r="I830" s="6">
        <v>124</v>
      </c>
      <c r="J830" s="11">
        <v>124</v>
      </c>
      <c r="M830" s="6" t="str" cm="1">
        <f t="array" ref="M830">_xlfn.IFS(J830&lt;=500,"Low",J830&gt;=1500,"Mid",J830&lt;=1500,"High",TRUE,"no")</f>
        <v>Low</v>
      </c>
      <c r="N830" s="6"/>
      <c r="O830" s="6" t="str">
        <f t="shared" si="20"/>
        <v>Diana</v>
      </c>
    </row>
    <row r="831" spans="1:15" x14ac:dyDescent="0.3">
      <c r="A831" s="10">
        <v>830</v>
      </c>
      <c r="B831" s="18">
        <v>45756</v>
      </c>
      <c r="C831" s="6" t="s">
        <v>849</v>
      </c>
      <c r="D831" s="6" t="s">
        <v>1</v>
      </c>
      <c r="E831" s="6" t="s">
        <v>19</v>
      </c>
      <c r="F831" s="6">
        <v>38</v>
      </c>
      <c r="G831" s="6" t="s">
        <v>20</v>
      </c>
      <c r="H831" s="6">
        <v>4</v>
      </c>
      <c r="I831" s="6">
        <v>94</v>
      </c>
      <c r="J831" s="11">
        <v>376</v>
      </c>
      <c r="M831" s="6" t="str" cm="1">
        <f t="array" ref="M831">_xlfn.IFS(J831&lt;=500,"Low",J831&gt;=1500,"Mid",J831&lt;=1500,"High",TRUE,"no")</f>
        <v>Low</v>
      </c>
      <c r="N831" s="6"/>
      <c r="O831" s="6" t="str">
        <f t="shared" si="20"/>
        <v>Charlie</v>
      </c>
    </row>
    <row r="832" spans="1:15" x14ac:dyDescent="0.3">
      <c r="A832" s="10">
        <v>831</v>
      </c>
      <c r="B832" s="18">
        <v>45757</v>
      </c>
      <c r="C832" s="6" t="s">
        <v>850</v>
      </c>
      <c r="D832" s="6" t="s">
        <v>2</v>
      </c>
      <c r="E832" s="6" t="s">
        <v>14</v>
      </c>
      <c r="F832" s="6">
        <v>58</v>
      </c>
      <c r="G832" s="6" t="s">
        <v>15</v>
      </c>
      <c r="H832" s="6">
        <v>4</v>
      </c>
      <c r="I832" s="6">
        <v>482</v>
      </c>
      <c r="J832" s="11">
        <v>1928</v>
      </c>
      <c r="M832" s="6" t="str" cm="1">
        <f t="array" ref="M832">_xlfn.IFS(J832&lt;=500,"Low",J832&gt;=1500,"Mid",J832&lt;=1500,"High",TRUE,"no")</f>
        <v>Mid</v>
      </c>
      <c r="N832" s="6"/>
      <c r="O832" s="6" t="str">
        <f t="shared" si="20"/>
        <v>Diana</v>
      </c>
    </row>
    <row r="833" spans="1:15" x14ac:dyDescent="0.3">
      <c r="A833" s="10">
        <v>832</v>
      </c>
      <c r="B833" s="18">
        <v>45758</v>
      </c>
      <c r="C833" s="6" t="s">
        <v>851</v>
      </c>
      <c r="D833" s="6" t="s">
        <v>4</v>
      </c>
      <c r="E833" s="6" t="s">
        <v>19</v>
      </c>
      <c r="F833" s="6">
        <v>25</v>
      </c>
      <c r="G833" s="6" t="s">
        <v>23</v>
      </c>
      <c r="H833" s="6">
        <v>4</v>
      </c>
      <c r="I833" s="6">
        <v>177</v>
      </c>
      <c r="J833" s="11">
        <v>708</v>
      </c>
      <c r="M833" s="6" t="str" cm="1">
        <f t="array" ref="M833">_xlfn.IFS(J833&lt;=500,"Low",J833&gt;=1500,"Mid",J833&lt;=1500,"High",TRUE,"no")</f>
        <v>High</v>
      </c>
      <c r="N833" s="6"/>
      <c r="O833" s="6" t="str">
        <f t="shared" si="20"/>
        <v>Alice</v>
      </c>
    </row>
    <row r="834" spans="1:15" x14ac:dyDescent="0.3">
      <c r="A834" s="10">
        <v>833</v>
      </c>
      <c r="B834" s="18">
        <v>45759</v>
      </c>
      <c r="C834" s="6" t="s">
        <v>852</v>
      </c>
      <c r="D834" s="6" t="s">
        <v>4</v>
      </c>
      <c r="E834" s="6" t="s">
        <v>19</v>
      </c>
      <c r="F834" s="6">
        <v>24</v>
      </c>
      <c r="G834" s="6" t="s">
        <v>15</v>
      </c>
      <c r="H834" s="6">
        <v>1</v>
      </c>
      <c r="I834" s="6">
        <v>142</v>
      </c>
      <c r="J834" s="11">
        <v>142</v>
      </c>
      <c r="M834" s="6" t="str" cm="1">
        <f t="array" ref="M834">_xlfn.IFS(J834&lt;=500,"Low",J834&gt;=1500,"Mid",J834&lt;=1500,"High",TRUE,"no")</f>
        <v>Low</v>
      </c>
      <c r="N834" s="6"/>
      <c r="O834" s="6" t="str">
        <f t="shared" si="20"/>
        <v>Alice</v>
      </c>
    </row>
    <row r="835" spans="1:15" x14ac:dyDescent="0.3">
      <c r="A835" s="10">
        <v>834</v>
      </c>
      <c r="B835" s="18">
        <v>45760</v>
      </c>
      <c r="C835" s="6" t="s">
        <v>853</v>
      </c>
      <c r="D835" s="6" t="s">
        <v>1</v>
      </c>
      <c r="E835" s="6" t="s">
        <v>19</v>
      </c>
      <c r="F835" s="6">
        <v>19</v>
      </c>
      <c r="G835" s="6" t="s">
        <v>17</v>
      </c>
      <c r="H835" s="6">
        <v>3</v>
      </c>
      <c r="I835" s="6">
        <v>64</v>
      </c>
      <c r="J835" s="11">
        <v>192</v>
      </c>
      <c r="M835" s="6" t="str" cm="1">
        <f t="array" ref="M835">_xlfn.IFS(J835&lt;=500,"Low",J835&gt;=1500,"Mid",J835&lt;=1500,"High",TRUE,"no")</f>
        <v>Low</v>
      </c>
      <c r="N835" s="6"/>
      <c r="O835" s="6" t="str">
        <f t="shared" ref="O835:O898" si="21">INDEX(D835:D1834,MATCH($D$2,$D$2:$D$1001,0))</f>
        <v>Charlie</v>
      </c>
    </row>
    <row r="836" spans="1:15" x14ac:dyDescent="0.3">
      <c r="A836" s="10">
        <v>835</v>
      </c>
      <c r="B836" s="18">
        <v>45761</v>
      </c>
      <c r="C836" s="6" t="s">
        <v>854</v>
      </c>
      <c r="D836" s="6" t="s">
        <v>4</v>
      </c>
      <c r="E836" s="6" t="s">
        <v>19</v>
      </c>
      <c r="F836" s="6">
        <v>51</v>
      </c>
      <c r="G836" s="6" t="s">
        <v>23</v>
      </c>
      <c r="H836" s="6">
        <v>2</v>
      </c>
      <c r="I836" s="6">
        <v>251</v>
      </c>
      <c r="J836" s="11">
        <v>502</v>
      </c>
      <c r="M836" s="6" t="str" cm="1">
        <f t="array" ref="M836">_xlfn.IFS(J836&lt;=500,"Low",J836&gt;=1500,"Mid",J836&lt;=1500,"High",TRUE,"no")</f>
        <v>High</v>
      </c>
      <c r="N836" s="6"/>
      <c r="O836" s="6" t="str">
        <f t="shared" si="21"/>
        <v>Alice</v>
      </c>
    </row>
    <row r="837" spans="1:15" x14ac:dyDescent="0.3">
      <c r="A837" s="10">
        <v>836</v>
      </c>
      <c r="B837" s="18">
        <v>45762</v>
      </c>
      <c r="C837" s="6" t="s">
        <v>855</v>
      </c>
      <c r="D837" s="6" t="s">
        <v>1</v>
      </c>
      <c r="E837" s="6" t="s">
        <v>19</v>
      </c>
      <c r="F837" s="6">
        <v>34</v>
      </c>
      <c r="G837" s="6" t="s">
        <v>15</v>
      </c>
      <c r="H837" s="6">
        <v>3</v>
      </c>
      <c r="I837" s="6">
        <v>442</v>
      </c>
      <c r="J837" s="11">
        <v>1326</v>
      </c>
      <c r="M837" s="6" t="str" cm="1">
        <f t="array" ref="M837">_xlfn.IFS(J837&lt;=500,"Low",J837&gt;=1500,"Mid",J837&lt;=1500,"High",TRUE,"no")</f>
        <v>High</v>
      </c>
      <c r="N837" s="6"/>
      <c r="O837" s="6" t="str">
        <f t="shared" si="21"/>
        <v>Charlie</v>
      </c>
    </row>
    <row r="838" spans="1:15" x14ac:dyDescent="0.3">
      <c r="A838" s="10">
        <v>837</v>
      </c>
      <c r="B838" s="18">
        <v>45763</v>
      </c>
      <c r="C838" s="6" t="s">
        <v>856</v>
      </c>
      <c r="D838" s="6" t="s">
        <v>2</v>
      </c>
      <c r="E838" s="6" t="s">
        <v>14</v>
      </c>
      <c r="F838" s="6">
        <v>43</v>
      </c>
      <c r="G838" s="6" t="s">
        <v>17</v>
      </c>
      <c r="H838" s="6">
        <v>2</v>
      </c>
      <c r="I838" s="6">
        <v>476</v>
      </c>
      <c r="J838" s="11">
        <v>952</v>
      </c>
      <c r="M838" s="6" t="str" cm="1">
        <f t="array" ref="M838">_xlfn.IFS(J838&lt;=500,"Low",J838&gt;=1500,"Mid",J838&lt;=1500,"High",TRUE,"no")</f>
        <v>High</v>
      </c>
      <c r="N838" s="6"/>
      <c r="O838" s="6" t="str">
        <f t="shared" si="21"/>
        <v>Diana</v>
      </c>
    </row>
    <row r="839" spans="1:15" x14ac:dyDescent="0.3">
      <c r="A839" s="10">
        <v>838</v>
      </c>
      <c r="B839" s="18">
        <v>45764</v>
      </c>
      <c r="C839" s="6" t="s">
        <v>857</v>
      </c>
      <c r="D839" s="6" t="s">
        <v>3</v>
      </c>
      <c r="E839" s="6" t="s">
        <v>14</v>
      </c>
      <c r="F839" s="6">
        <v>52</v>
      </c>
      <c r="G839" s="6" t="s">
        <v>15</v>
      </c>
      <c r="H839" s="6">
        <v>2</v>
      </c>
      <c r="I839" s="6">
        <v>464</v>
      </c>
      <c r="J839" s="11">
        <v>928</v>
      </c>
      <c r="M839" s="6" t="str" cm="1">
        <f t="array" ref="M839">_xlfn.IFS(J839&lt;=500,"Low",J839&gt;=1500,"Mid",J839&lt;=1500,"High",TRUE,"no")</f>
        <v>High</v>
      </c>
      <c r="N839" s="6"/>
      <c r="O839" s="6" t="str">
        <f t="shared" si="21"/>
        <v>Bob</v>
      </c>
    </row>
    <row r="840" spans="1:15" x14ac:dyDescent="0.3">
      <c r="A840" s="10">
        <v>839</v>
      </c>
      <c r="B840" s="18">
        <v>45765</v>
      </c>
      <c r="C840" s="6" t="s">
        <v>858</v>
      </c>
      <c r="D840" s="6" t="s">
        <v>4</v>
      </c>
      <c r="E840" s="6" t="s">
        <v>19</v>
      </c>
      <c r="F840" s="6">
        <v>53</v>
      </c>
      <c r="G840" s="6" t="s">
        <v>17</v>
      </c>
      <c r="H840" s="6">
        <v>2</v>
      </c>
      <c r="I840" s="6">
        <v>326</v>
      </c>
      <c r="J840" s="11">
        <v>652</v>
      </c>
      <c r="M840" s="6" t="str" cm="1">
        <f t="array" ref="M840">_xlfn.IFS(J840&lt;=500,"Low",J840&gt;=1500,"Mid",J840&lt;=1500,"High",TRUE,"no")</f>
        <v>High</v>
      </c>
      <c r="N840" s="6"/>
      <c r="O840" s="6" t="str">
        <f t="shared" si="21"/>
        <v>Alice</v>
      </c>
    </row>
    <row r="841" spans="1:15" x14ac:dyDescent="0.3">
      <c r="A841" s="10">
        <v>840</v>
      </c>
      <c r="B841" s="18">
        <v>45766</v>
      </c>
      <c r="C841" s="6" t="s">
        <v>859</v>
      </c>
      <c r="D841" s="6" t="s">
        <v>2</v>
      </c>
      <c r="E841" s="6" t="s">
        <v>19</v>
      </c>
      <c r="F841" s="6">
        <v>48</v>
      </c>
      <c r="G841" s="6" t="s">
        <v>20</v>
      </c>
      <c r="H841" s="6">
        <v>4</v>
      </c>
      <c r="I841" s="6">
        <v>433</v>
      </c>
      <c r="J841" s="11">
        <v>1732</v>
      </c>
      <c r="M841" s="6" t="str" cm="1">
        <f t="array" ref="M841">_xlfn.IFS(J841&lt;=500,"Low",J841&gt;=1500,"Mid",J841&lt;=1500,"High",TRUE,"no")</f>
        <v>Mid</v>
      </c>
      <c r="N841" s="6"/>
      <c r="O841" s="6" t="str">
        <f t="shared" si="21"/>
        <v>Diana</v>
      </c>
    </row>
    <row r="842" spans="1:15" x14ac:dyDescent="0.3">
      <c r="A842" s="10">
        <v>841</v>
      </c>
      <c r="B842" s="18">
        <v>45767</v>
      </c>
      <c r="C842" s="6" t="s">
        <v>860</v>
      </c>
      <c r="D842" s="6" t="s">
        <v>3</v>
      </c>
      <c r="E842" s="6" t="s">
        <v>14</v>
      </c>
      <c r="F842" s="6">
        <v>26</v>
      </c>
      <c r="G842" s="6" t="s">
        <v>15</v>
      </c>
      <c r="H842" s="6">
        <v>5</v>
      </c>
      <c r="I842" s="6">
        <v>219</v>
      </c>
      <c r="J842" s="11">
        <v>1095</v>
      </c>
      <c r="M842" s="6" t="str" cm="1">
        <f t="array" ref="M842">_xlfn.IFS(J842&lt;=500,"Low",J842&gt;=1500,"Mid",J842&lt;=1500,"High",TRUE,"no")</f>
        <v>High</v>
      </c>
      <c r="N842" s="6"/>
      <c r="O842" s="6" t="str">
        <f t="shared" si="21"/>
        <v>Bob</v>
      </c>
    </row>
    <row r="843" spans="1:15" x14ac:dyDescent="0.3">
      <c r="A843" s="10">
        <v>842</v>
      </c>
      <c r="B843" s="18">
        <v>45768</v>
      </c>
      <c r="C843" s="6" t="s">
        <v>861</v>
      </c>
      <c r="D843" s="6" t="s">
        <v>3</v>
      </c>
      <c r="E843" s="6" t="s">
        <v>19</v>
      </c>
      <c r="F843" s="6">
        <v>42</v>
      </c>
      <c r="G843" s="6" t="s">
        <v>27</v>
      </c>
      <c r="H843" s="6">
        <v>5</v>
      </c>
      <c r="I843" s="6">
        <v>496</v>
      </c>
      <c r="J843" s="11">
        <v>2480</v>
      </c>
      <c r="M843" s="6" t="str" cm="1">
        <f t="array" ref="M843">_xlfn.IFS(J843&lt;=500,"Low",J843&gt;=1500,"Mid",J843&lt;=1500,"High",TRUE,"no")</f>
        <v>Mid</v>
      </c>
      <c r="N843" s="6"/>
      <c r="O843" s="6" t="str">
        <f t="shared" si="21"/>
        <v>Bob</v>
      </c>
    </row>
    <row r="844" spans="1:15" x14ac:dyDescent="0.3">
      <c r="A844" s="10">
        <v>843</v>
      </c>
      <c r="B844" s="18">
        <v>45769</v>
      </c>
      <c r="C844" s="6" t="s">
        <v>862</v>
      </c>
      <c r="D844" s="6" t="s">
        <v>3</v>
      </c>
      <c r="E844" s="6" t="s">
        <v>19</v>
      </c>
      <c r="F844" s="6">
        <v>51</v>
      </c>
      <c r="G844" s="6" t="s">
        <v>20</v>
      </c>
      <c r="H844" s="6">
        <v>5</v>
      </c>
      <c r="I844" s="6">
        <v>293</v>
      </c>
      <c r="J844" s="11">
        <v>1465</v>
      </c>
      <c r="M844" s="6" t="str" cm="1">
        <f t="array" ref="M844">_xlfn.IFS(J844&lt;=500,"Low",J844&gt;=1500,"Mid",J844&lt;=1500,"High",TRUE,"no")</f>
        <v>High</v>
      </c>
      <c r="N844" s="6"/>
      <c r="O844" s="6" t="str">
        <f t="shared" si="21"/>
        <v>Bob</v>
      </c>
    </row>
    <row r="845" spans="1:15" x14ac:dyDescent="0.3">
      <c r="A845" s="10">
        <v>844</v>
      </c>
      <c r="B845" s="18">
        <v>45770</v>
      </c>
      <c r="C845" s="6" t="s">
        <v>863</v>
      </c>
      <c r="D845" s="6" t="s">
        <v>2</v>
      </c>
      <c r="E845" s="6" t="s">
        <v>14</v>
      </c>
      <c r="F845" s="6">
        <v>57</v>
      </c>
      <c r="G845" s="6" t="s">
        <v>27</v>
      </c>
      <c r="H845" s="6">
        <v>1</v>
      </c>
      <c r="I845" s="6">
        <v>481</v>
      </c>
      <c r="J845" s="11">
        <v>481</v>
      </c>
      <c r="M845" s="6" t="str" cm="1">
        <f t="array" ref="M845">_xlfn.IFS(J845&lt;=500,"Low",J845&gt;=1500,"Mid",J845&lt;=1500,"High",TRUE,"no")</f>
        <v>Low</v>
      </c>
      <c r="N845" s="6"/>
      <c r="O845" s="6" t="str">
        <f t="shared" si="21"/>
        <v>Diana</v>
      </c>
    </row>
    <row r="846" spans="1:15" x14ac:dyDescent="0.3">
      <c r="A846" s="10">
        <v>845</v>
      </c>
      <c r="B846" s="18">
        <v>45771</v>
      </c>
      <c r="C846" s="6" t="s">
        <v>864</v>
      </c>
      <c r="D846" s="6" t="s">
        <v>2</v>
      </c>
      <c r="E846" s="6" t="s">
        <v>19</v>
      </c>
      <c r="F846" s="6">
        <v>51</v>
      </c>
      <c r="G846" s="6" t="s">
        <v>20</v>
      </c>
      <c r="H846" s="6">
        <v>2</v>
      </c>
      <c r="I846" s="6">
        <v>126</v>
      </c>
      <c r="J846" s="11">
        <v>252</v>
      </c>
      <c r="M846" s="6" t="str" cm="1">
        <f t="array" ref="M846">_xlfn.IFS(J846&lt;=500,"Low",J846&gt;=1500,"Mid",J846&lt;=1500,"High",TRUE,"no")</f>
        <v>Low</v>
      </c>
      <c r="N846" s="6"/>
      <c r="O846" s="6" t="str">
        <f t="shared" si="21"/>
        <v>Diana</v>
      </c>
    </row>
    <row r="847" spans="1:15" x14ac:dyDescent="0.3">
      <c r="A847" s="10">
        <v>846</v>
      </c>
      <c r="B847" s="18">
        <v>45772</v>
      </c>
      <c r="C847" s="6" t="s">
        <v>865</v>
      </c>
      <c r="D847" s="6" t="s">
        <v>1</v>
      </c>
      <c r="E847" s="6" t="s">
        <v>19</v>
      </c>
      <c r="F847" s="6">
        <v>45</v>
      </c>
      <c r="G847" s="6" t="s">
        <v>27</v>
      </c>
      <c r="H847" s="6">
        <v>5</v>
      </c>
      <c r="I847" s="6">
        <v>397</v>
      </c>
      <c r="J847" s="11">
        <v>1985</v>
      </c>
      <c r="M847" s="6" t="str" cm="1">
        <f t="array" ref="M847">_xlfn.IFS(J847&lt;=500,"Low",J847&gt;=1500,"Mid",J847&lt;=1500,"High",TRUE,"no")</f>
        <v>Mid</v>
      </c>
      <c r="N847" s="6"/>
      <c r="O847" s="6" t="str">
        <f t="shared" si="21"/>
        <v>Charlie</v>
      </c>
    </row>
    <row r="848" spans="1:15" x14ac:dyDescent="0.3">
      <c r="A848" s="10">
        <v>847</v>
      </c>
      <c r="B848" s="18">
        <v>45773</v>
      </c>
      <c r="C848" s="6" t="s">
        <v>866</v>
      </c>
      <c r="D848" s="6" t="s">
        <v>3</v>
      </c>
      <c r="E848" s="6" t="s">
        <v>19</v>
      </c>
      <c r="F848" s="6">
        <v>34</v>
      </c>
      <c r="G848" s="6" t="s">
        <v>17</v>
      </c>
      <c r="H848" s="6">
        <v>2</v>
      </c>
      <c r="I848" s="6">
        <v>490</v>
      </c>
      <c r="J848" s="11">
        <v>980</v>
      </c>
      <c r="M848" s="6" t="str" cm="1">
        <f t="array" ref="M848">_xlfn.IFS(J848&lt;=500,"Low",J848&gt;=1500,"Mid",J848&lt;=1500,"High",TRUE,"no")</f>
        <v>High</v>
      </c>
      <c r="N848" s="6"/>
      <c r="O848" s="6" t="str">
        <f t="shared" si="21"/>
        <v>Bob</v>
      </c>
    </row>
    <row r="849" spans="1:15" x14ac:dyDescent="0.3">
      <c r="A849" s="10">
        <v>848</v>
      </c>
      <c r="B849" s="18">
        <v>45774</v>
      </c>
      <c r="C849" s="6" t="s">
        <v>867</v>
      </c>
      <c r="D849" s="6" t="s">
        <v>3</v>
      </c>
      <c r="E849" s="6" t="s">
        <v>19</v>
      </c>
      <c r="F849" s="6">
        <v>19</v>
      </c>
      <c r="G849" s="6" t="s">
        <v>27</v>
      </c>
      <c r="H849" s="6">
        <v>4</v>
      </c>
      <c r="I849" s="6">
        <v>304</v>
      </c>
      <c r="J849" s="11">
        <v>1216</v>
      </c>
      <c r="M849" s="6" t="str" cm="1">
        <f t="array" ref="M849">_xlfn.IFS(J849&lt;=500,"Low",J849&gt;=1500,"Mid",J849&lt;=1500,"High",TRUE,"no")</f>
        <v>High</v>
      </c>
      <c r="N849" s="6"/>
      <c r="O849" s="6" t="str">
        <f t="shared" si="21"/>
        <v>Bob</v>
      </c>
    </row>
    <row r="850" spans="1:15" x14ac:dyDescent="0.3">
      <c r="A850" s="10">
        <v>849</v>
      </c>
      <c r="B850" s="18">
        <v>45775</v>
      </c>
      <c r="C850" s="6" t="s">
        <v>868</v>
      </c>
      <c r="D850" s="6" t="s">
        <v>3</v>
      </c>
      <c r="E850" s="6" t="s">
        <v>19</v>
      </c>
      <c r="F850" s="6">
        <v>37</v>
      </c>
      <c r="G850" s="6" t="s">
        <v>27</v>
      </c>
      <c r="H850" s="6">
        <v>2</v>
      </c>
      <c r="I850" s="6">
        <v>103</v>
      </c>
      <c r="J850" s="11">
        <v>206</v>
      </c>
      <c r="M850" s="6" t="str" cm="1">
        <f t="array" ref="M850">_xlfn.IFS(J850&lt;=500,"Low",J850&gt;=1500,"Mid",J850&lt;=1500,"High",TRUE,"no")</f>
        <v>Low</v>
      </c>
      <c r="N850" s="6"/>
      <c r="O850" s="6" t="str">
        <f t="shared" si="21"/>
        <v>Bob</v>
      </c>
    </row>
    <row r="851" spans="1:15" x14ac:dyDescent="0.3">
      <c r="A851" s="10">
        <v>850</v>
      </c>
      <c r="B851" s="18">
        <v>45776</v>
      </c>
      <c r="C851" s="6" t="s">
        <v>869</v>
      </c>
      <c r="D851" s="6" t="s">
        <v>1</v>
      </c>
      <c r="E851" s="6" t="s">
        <v>19</v>
      </c>
      <c r="F851" s="6">
        <v>51</v>
      </c>
      <c r="G851" s="6" t="s">
        <v>15</v>
      </c>
      <c r="H851" s="6">
        <v>3</v>
      </c>
      <c r="I851" s="6">
        <v>68</v>
      </c>
      <c r="J851" s="11">
        <v>204</v>
      </c>
      <c r="M851" s="6" t="str" cm="1">
        <f t="array" ref="M851">_xlfn.IFS(J851&lt;=500,"Low",J851&gt;=1500,"Mid",J851&lt;=1500,"High",TRUE,"no")</f>
        <v>Low</v>
      </c>
      <c r="N851" s="6"/>
      <c r="O851" s="6" t="str">
        <f t="shared" si="21"/>
        <v>Charlie</v>
      </c>
    </row>
    <row r="852" spans="1:15" x14ac:dyDescent="0.3">
      <c r="A852" s="10">
        <v>851</v>
      </c>
      <c r="B852" s="18">
        <v>45777</v>
      </c>
      <c r="C852" s="6" t="s">
        <v>870</v>
      </c>
      <c r="D852" s="6" t="s">
        <v>3</v>
      </c>
      <c r="E852" s="6" t="s">
        <v>19</v>
      </c>
      <c r="F852" s="6">
        <v>53</v>
      </c>
      <c r="G852" s="6" t="s">
        <v>17</v>
      </c>
      <c r="H852" s="6">
        <v>1</v>
      </c>
      <c r="I852" s="6">
        <v>384</v>
      </c>
      <c r="J852" s="11">
        <v>384</v>
      </c>
      <c r="M852" s="6" t="str" cm="1">
        <f t="array" ref="M852">_xlfn.IFS(J852&lt;=500,"Low",J852&gt;=1500,"Mid",J852&lt;=1500,"High",TRUE,"no")</f>
        <v>Low</v>
      </c>
      <c r="N852" s="6"/>
      <c r="O852" s="6" t="str">
        <f t="shared" si="21"/>
        <v>Bob</v>
      </c>
    </row>
    <row r="853" spans="1:15" x14ac:dyDescent="0.3">
      <c r="A853" s="10">
        <v>852</v>
      </c>
      <c r="B853" s="18">
        <v>45778</v>
      </c>
      <c r="C853" s="6" t="s">
        <v>871</v>
      </c>
      <c r="D853" s="6" t="s">
        <v>2</v>
      </c>
      <c r="E853" s="6" t="s">
        <v>14</v>
      </c>
      <c r="F853" s="6">
        <v>60</v>
      </c>
      <c r="G853" s="6" t="s">
        <v>20</v>
      </c>
      <c r="H853" s="6">
        <v>2</v>
      </c>
      <c r="I853" s="6">
        <v>247</v>
      </c>
      <c r="J853" s="11">
        <v>494</v>
      </c>
      <c r="M853" s="6" t="str" cm="1">
        <f t="array" ref="M853">_xlfn.IFS(J853&lt;=500,"Low",J853&gt;=1500,"Mid",J853&lt;=1500,"High",TRUE,"no")</f>
        <v>Low</v>
      </c>
      <c r="N853" s="6"/>
      <c r="O853" s="6" t="str">
        <f t="shared" si="21"/>
        <v>Diana</v>
      </c>
    </row>
    <row r="854" spans="1:15" x14ac:dyDescent="0.3">
      <c r="A854" s="10">
        <v>853</v>
      </c>
      <c r="B854" s="18">
        <v>45779</v>
      </c>
      <c r="C854" s="6" t="s">
        <v>872</v>
      </c>
      <c r="D854" s="6" t="s">
        <v>3</v>
      </c>
      <c r="E854" s="6" t="s">
        <v>19</v>
      </c>
      <c r="F854" s="6">
        <v>37</v>
      </c>
      <c r="G854" s="6" t="s">
        <v>23</v>
      </c>
      <c r="H854" s="6">
        <v>3</v>
      </c>
      <c r="I854" s="6">
        <v>87</v>
      </c>
      <c r="J854" s="11">
        <v>261</v>
      </c>
      <c r="M854" s="6" t="str" cm="1">
        <f t="array" ref="M854">_xlfn.IFS(J854&lt;=500,"Low",J854&gt;=1500,"Mid",J854&lt;=1500,"High",TRUE,"no")</f>
        <v>Low</v>
      </c>
      <c r="N854" s="6"/>
      <c r="O854" s="6" t="str">
        <f t="shared" si="21"/>
        <v>Bob</v>
      </c>
    </row>
    <row r="855" spans="1:15" x14ac:dyDescent="0.3">
      <c r="A855" s="10">
        <v>854</v>
      </c>
      <c r="B855" s="18">
        <v>45780</v>
      </c>
      <c r="C855" s="6" t="s">
        <v>873</v>
      </c>
      <c r="D855" s="6" t="s">
        <v>4</v>
      </c>
      <c r="E855" s="6" t="s">
        <v>14</v>
      </c>
      <c r="F855" s="6">
        <v>56</v>
      </c>
      <c r="G855" s="6" t="s">
        <v>27</v>
      </c>
      <c r="H855" s="6">
        <v>1</v>
      </c>
      <c r="I855" s="6">
        <v>40</v>
      </c>
      <c r="J855" s="11">
        <v>40</v>
      </c>
      <c r="M855" s="6" t="str" cm="1">
        <f t="array" ref="M855">_xlfn.IFS(J855&lt;=500,"Low",J855&gt;=1500,"Mid",J855&lt;=1500,"High",TRUE,"no")</f>
        <v>Low</v>
      </c>
      <c r="N855" s="6"/>
      <c r="O855" s="6" t="str">
        <f t="shared" si="21"/>
        <v>Alice</v>
      </c>
    </row>
    <row r="856" spans="1:15" x14ac:dyDescent="0.3">
      <c r="A856" s="10">
        <v>855</v>
      </c>
      <c r="B856" s="18">
        <v>45781</v>
      </c>
      <c r="C856" s="6" t="s">
        <v>874</v>
      </c>
      <c r="D856" s="6" t="s">
        <v>2</v>
      </c>
      <c r="E856" s="6" t="s">
        <v>19</v>
      </c>
      <c r="F856" s="6">
        <v>37</v>
      </c>
      <c r="G856" s="6" t="s">
        <v>15</v>
      </c>
      <c r="H856" s="6">
        <v>5</v>
      </c>
      <c r="I856" s="6">
        <v>451</v>
      </c>
      <c r="J856" s="11">
        <v>2255</v>
      </c>
      <c r="M856" s="6" t="str" cm="1">
        <f t="array" ref="M856">_xlfn.IFS(J856&lt;=500,"Low",J856&gt;=1500,"Mid",J856&lt;=1500,"High",TRUE,"no")</f>
        <v>Mid</v>
      </c>
      <c r="N856" s="6"/>
      <c r="O856" s="6" t="str">
        <f t="shared" si="21"/>
        <v>Diana</v>
      </c>
    </row>
    <row r="857" spans="1:15" x14ac:dyDescent="0.3">
      <c r="A857" s="10">
        <v>856</v>
      </c>
      <c r="B857" s="18">
        <v>45782</v>
      </c>
      <c r="C857" s="6" t="s">
        <v>875</v>
      </c>
      <c r="D857" s="6" t="s">
        <v>1</v>
      </c>
      <c r="E857" s="6" t="s">
        <v>14</v>
      </c>
      <c r="F857" s="6">
        <v>44</v>
      </c>
      <c r="G857" s="6" t="s">
        <v>17</v>
      </c>
      <c r="H857" s="6">
        <v>1</v>
      </c>
      <c r="I857" s="6">
        <v>379</v>
      </c>
      <c r="J857" s="11">
        <v>379</v>
      </c>
      <c r="M857" s="6" t="str" cm="1">
        <f t="array" ref="M857">_xlfn.IFS(J857&lt;=500,"Low",J857&gt;=1500,"Mid",J857&lt;=1500,"High",TRUE,"no")</f>
        <v>Low</v>
      </c>
      <c r="N857" s="6"/>
      <c r="O857" s="6" t="str">
        <f t="shared" si="21"/>
        <v>Charlie</v>
      </c>
    </row>
    <row r="858" spans="1:15" x14ac:dyDescent="0.3">
      <c r="A858" s="10">
        <v>857</v>
      </c>
      <c r="B858" s="18">
        <v>45783</v>
      </c>
      <c r="C858" s="6" t="s">
        <v>876</v>
      </c>
      <c r="D858" s="6" t="s">
        <v>3</v>
      </c>
      <c r="E858" s="6" t="s">
        <v>14</v>
      </c>
      <c r="F858" s="6">
        <v>58</v>
      </c>
      <c r="G858" s="6" t="s">
        <v>15</v>
      </c>
      <c r="H858" s="6">
        <v>4</v>
      </c>
      <c r="I858" s="6">
        <v>410</v>
      </c>
      <c r="J858" s="11">
        <v>1640</v>
      </c>
      <c r="M858" s="6" t="str" cm="1">
        <f t="array" ref="M858">_xlfn.IFS(J858&lt;=500,"Low",J858&gt;=1500,"Mid",J858&lt;=1500,"High",TRUE,"no")</f>
        <v>Mid</v>
      </c>
      <c r="N858" s="6"/>
      <c r="O858" s="6" t="str">
        <f t="shared" si="21"/>
        <v>Bob</v>
      </c>
    </row>
    <row r="859" spans="1:15" x14ac:dyDescent="0.3">
      <c r="A859" s="10">
        <v>858</v>
      </c>
      <c r="B859" s="18">
        <v>45784</v>
      </c>
      <c r="C859" s="6" t="s">
        <v>877</v>
      </c>
      <c r="D859" s="6" t="s">
        <v>4</v>
      </c>
      <c r="E859" s="6" t="s">
        <v>14</v>
      </c>
      <c r="F859" s="6">
        <v>30</v>
      </c>
      <c r="G859" s="6" t="s">
        <v>23</v>
      </c>
      <c r="H859" s="6">
        <v>3</v>
      </c>
      <c r="I859" s="6">
        <v>308</v>
      </c>
      <c r="J859" s="11">
        <v>924</v>
      </c>
      <c r="M859" s="6" t="str" cm="1">
        <f t="array" ref="M859">_xlfn.IFS(J859&lt;=500,"Low",J859&gt;=1500,"Mid",J859&lt;=1500,"High",TRUE,"no")</f>
        <v>High</v>
      </c>
      <c r="N859" s="6"/>
      <c r="O859" s="6" t="str">
        <f t="shared" si="21"/>
        <v>Alice</v>
      </c>
    </row>
    <row r="860" spans="1:15" x14ac:dyDescent="0.3">
      <c r="A860" s="10">
        <v>859</v>
      </c>
      <c r="B860" s="18">
        <v>45785</v>
      </c>
      <c r="C860" s="6" t="s">
        <v>878</v>
      </c>
      <c r="D860" s="6" t="s">
        <v>1</v>
      </c>
      <c r="E860" s="6" t="s">
        <v>14</v>
      </c>
      <c r="F860" s="6">
        <v>40</v>
      </c>
      <c r="G860" s="6" t="s">
        <v>17</v>
      </c>
      <c r="H860" s="6">
        <v>2</v>
      </c>
      <c r="I860" s="6">
        <v>305</v>
      </c>
      <c r="J860" s="11">
        <v>610</v>
      </c>
      <c r="M860" s="6" t="str" cm="1">
        <f t="array" ref="M860">_xlfn.IFS(J860&lt;=500,"Low",J860&gt;=1500,"Mid",J860&lt;=1500,"High",TRUE,"no")</f>
        <v>High</v>
      </c>
      <c r="N860" s="6"/>
      <c r="O860" s="6" t="str">
        <f t="shared" si="21"/>
        <v>Charlie</v>
      </c>
    </row>
    <row r="861" spans="1:15" x14ac:dyDescent="0.3">
      <c r="A861" s="10">
        <v>860</v>
      </c>
      <c r="B861" s="18">
        <v>45786</v>
      </c>
      <c r="C861" s="6" t="s">
        <v>879</v>
      </c>
      <c r="D861" s="6" t="s">
        <v>1</v>
      </c>
      <c r="E861" s="6" t="s">
        <v>14</v>
      </c>
      <c r="F861" s="6">
        <v>39</v>
      </c>
      <c r="G861" s="6" t="s">
        <v>27</v>
      </c>
      <c r="H861" s="6">
        <v>4</v>
      </c>
      <c r="I861" s="6">
        <v>377</v>
      </c>
      <c r="J861" s="11">
        <v>1508</v>
      </c>
      <c r="M861" s="6" t="str" cm="1">
        <f t="array" ref="M861">_xlfn.IFS(J861&lt;=500,"Low",J861&gt;=1500,"Mid",J861&lt;=1500,"High",TRUE,"no")</f>
        <v>Mid</v>
      </c>
      <c r="N861" s="6"/>
      <c r="O861" s="6" t="str">
        <f t="shared" si="21"/>
        <v>Charlie</v>
      </c>
    </row>
    <row r="862" spans="1:15" x14ac:dyDescent="0.3">
      <c r="A862" s="10">
        <v>861</v>
      </c>
      <c r="B862" s="18">
        <v>45787</v>
      </c>
      <c r="C862" s="6" t="s">
        <v>880</v>
      </c>
      <c r="D862" s="6" t="s">
        <v>2</v>
      </c>
      <c r="E862" s="6" t="s">
        <v>19</v>
      </c>
      <c r="F862" s="6">
        <v>52</v>
      </c>
      <c r="G862" s="6" t="s">
        <v>23</v>
      </c>
      <c r="H862" s="6">
        <v>2</v>
      </c>
      <c r="I862" s="6">
        <v>209</v>
      </c>
      <c r="J862" s="11">
        <v>418</v>
      </c>
      <c r="M862" s="6" t="str" cm="1">
        <f t="array" ref="M862">_xlfn.IFS(J862&lt;=500,"Low",J862&gt;=1500,"Mid",J862&lt;=1500,"High",TRUE,"no")</f>
        <v>Low</v>
      </c>
      <c r="N862" s="6"/>
      <c r="O862" s="6" t="str">
        <f t="shared" si="21"/>
        <v>Diana</v>
      </c>
    </row>
    <row r="863" spans="1:15" x14ac:dyDescent="0.3">
      <c r="A863" s="10">
        <v>862</v>
      </c>
      <c r="B863" s="18">
        <v>45788</v>
      </c>
      <c r="C863" s="6" t="s">
        <v>881</v>
      </c>
      <c r="D863" s="6" t="s">
        <v>1</v>
      </c>
      <c r="E863" s="6" t="s">
        <v>19</v>
      </c>
      <c r="F863" s="6">
        <v>45</v>
      </c>
      <c r="G863" s="6" t="s">
        <v>17</v>
      </c>
      <c r="H863" s="6">
        <v>3</v>
      </c>
      <c r="I863" s="6">
        <v>104</v>
      </c>
      <c r="J863" s="11">
        <v>312</v>
      </c>
      <c r="M863" s="6" t="str" cm="1">
        <f t="array" ref="M863">_xlfn.IFS(J863&lt;=500,"Low",J863&gt;=1500,"Mid",J863&lt;=1500,"High",TRUE,"no")</f>
        <v>Low</v>
      </c>
      <c r="N863" s="6"/>
      <c r="O863" s="6" t="str">
        <f t="shared" si="21"/>
        <v>Charlie</v>
      </c>
    </row>
    <row r="864" spans="1:15" x14ac:dyDescent="0.3">
      <c r="A864" s="10">
        <v>863</v>
      </c>
      <c r="B864" s="18">
        <v>45789</v>
      </c>
      <c r="C864" s="6" t="s">
        <v>882</v>
      </c>
      <c r="D864" s="6" t="s">
        <v>1</v>
      </c>
      <c r="E864" s="6" t="s">
        <v>14</v>
      </c>
      <c r="F864" s="6">
        <v>25</v>
      </c>
      <c r="G864" s="6" t="s">
        <v>23</v>
      </c>
      <c r="H864" s="6">
        <v>2</v>
      </c>
      <c r="I864" s="6">
        <v>481</v>
      </c>
      <c r="J864" s="11">
        <v>962</v>
      </c>
      <c r="M864" s="6" t="str" cm="1">
        <f t="array" ref="M864">_xlfn.IFS(J864&lt;=500,"Low",J864&gt;=1500,"Mid",J864&lt;=1500,"High",TRUE,"no")</f>
        <v>High</v>
      </c>
      <c r="N864" s="6"/>
      <c r="O864" s="6" t="str">
        <f t="shared" si="21"/>
        <v>Charlie</v>
      </c>
    </row>
    <row r="865" spans="1:15" x14ac:dyDescent="0.3">
      <c r="A865" s="10">
        <v>864</v>
      </c>
      <c r="B865" s="18">
        <v>45790</v>
      </c>
      <c r="C865" s="6" t="s">
        <v>883</v>
      </c>
      <c r="D865" s="6" t="s">
        <v>1</v>
      </c>
      <c r="E865" s="6" t="s">
        <v>14</v>
      </c>
      <c r="F865" s="6">
        <v>20</v>
      </c>
      <c r="G865" s="6" t="s">
        <v>15</v>
      </c>
      <c r="H865" s="6">
        <v>4</v>
      </c>
      <c r="I865" s="6">
        <v>425</v>
      </c>
      <c r="J865" s="11">
        <v>1700</v>
      </c>
      <c r="M865" s="6" t="str" cm="1">
        <f t="array" ref="M865">_xlfn.IFS(J865&lt;=500,"Low",J865&gt;=1500,"Mid",J865&lt;=1500,"High",TRUE,"no")</f>
        <v>Mid</v>
      </c>
      <c r="N865" s="6"/>
      <c r="O865" s="6" t="str">
        <f t="shared" si="21"/>
        <v>Charlie</v>
      </c>
    </row>
    <row r="866" spans="1:15" x14ac:dyDescent="0.3">
      <c r="A866" s="10">
        <v>865</v>
      </c>
      <c r="B866" s="18">
        <v>45791</v>
      </c>
      <c r="C866" s="6" t="s">
        <v>884</v>
      </c>
      <c r="D866" s="6" t="s">
        <v>1</v>
      </c>
      <c r="E866" s="6" t="s">
        <v>14</v>
      </c>
      <c r="F866" s="6">
        <v>43</v>
      </c>
      <c r="G866" s="6" t="s">
        <v>17</v>
      </c>
      <c r="H866" s="6">
        <v>2</v>
      </c>
      <c r="I866" s="6">
        <v>309</v>
      </c>
      <c r="J866" s="11">
        <v>618</v>
      </c>
      <c r="M866" s="6" t="str" cm="1">
        <f t="array" ref="M866">_xlfn.IFS(J866&lt;=500,"Low",J866&gt;=1500,"Mid",J866&lt;=1500,"High",TRUE,"no")</f>
        <v>High</v>
      </c>
      <c r="N866" s="6"/>
      <c r="O866" s="6" t="str">
        <f t="shared" si="21"/>
        <v>Charlie</v>
      </c>
    </row>
    <row r="867" spans="1:15" x14ac:dyDescent="0.3">
      <c r="A867" s="10">
        <v>866</v>
      </c>
      <c r="B867" s="18">
        <v>45792</v>
      </c>
      <c r="C867" s="6" t="s">
        <v>885</v>
      </c>
      <c r="D867" s="6" t="s">
        <v>3</v>
      </c>
      <c r="E867" s="6" t="s">
        <v>19</v>
      </c>
      <c r="F867" s="6">
        <v>44</v>
      </c>
      <c r="G867" s="6" t="s">
        <v>20</v>
      </c>
      <c r="H867" s="6">
        <v>2</v>
      </c>
      <c r="I867" s="6">
        <v>67</v>
      </c>
      <c r="J867" s="11">
        <v>134</v>
      </c>
      <c r="M867" s="6" t="str" cm="1">
        <f t="array" ref="M867">_xlfn.IFS(J867&lt;=500,"Low",J867&gt;=1500,"Mid",J867&lt;=1500,"High",TRUE,"no")</f>
        <v>Low</v>
      </c>
      <c r="N867" s="6"/>
      <c r="O867" s="6" t="str">
        <f t="shared" si="21"/>
        <v>Bob</v>
      </c>
    </row>
    <row r="868" spans="1:15" x14ac:dyDescent="0.3">
      <c r="A868" s="10">
        <v>867</v>
      </c>
      <c r="B868" s="18">
        <v>45793</v>
      </c>
      <c r="C868" s="6" t="s">
        <v>886</v>
      </c>
      <c r="D868" s="6" t="s">
        <v>3</v>
      </c>
      <c r="E868" s="6" t="s">
        <v>14</v>
      </c>
      <c r="F868" s="6">
        <v>47</v>
      </c>
      <c r="G868" s="6" t="s">
        <v>20</v>
      </c>
      <c r="H868" s="6">
        <v>4</v>
      </c>
      <c r="I868" s="6">
        <v>474</v>
      </c>
      <c r="J868" s="11">
        <v>1896</v>
      </c>
      <c r="M868" s="6" t="str" cm="1">
        <f t="array" ref="M868">_xlfn.IFS(J868&lt;=500,"Low",J868&gt;=1500,"Mid",J868&lt;=1500,"High",TRUE,"no")</f>
        <v>Mid</v>
      </c>
      <c r="N868" s="6"/>
      <c r="O868" s="6" t="str">
        <f t="shared" si="21"/>
        <v>Bob</v>
      </c>
    </row>
    <row r="869" spans="1:15" x14ac:dyDescent="0.3">
      <c r="A869" s="10">
        <v>868</v>
      </c>
      <c r="B869" s="18">
        <v>45794</v>
      </c>
      <c r="C869" s="6" t="s">
        <v>887</v>
      </c>
      <c r="D869" s="6" t="s">
        <v>3</v>
      </c>
      <c r="E869" s="6" t="s">
        <v>19</v>
      </c>
      <c r="F869" s="6">
        <v>19</v>
      </c>
      <c r="G869" s="6" t="s">
        <v>17</v>
      </c>
      <c r="H869" s="6">
        <v>5</v>
      </c>
      <c r="I869" s="6">
        <v>167</v>
      </c>
      <c r="J869" s="11">
        <v>835</v>
      </c>
      <c r="M869" s="6" t="str" cm="1">
        <f t="array" ref="M869">_xlfn.IFS(J869&lt;=500,"Low",J869&gt;=1500,"Mid",J869&lt;=1500,"High",TRUE,"no")</f>
        <v>High</v>
      </c>
      <c r="N869" s="6"/>
      <c r="O869" s="6" t="str">
        <f t="shared" si="21"/>
        <v>Bob</v>
      </c>
    </row>
    <row r="870" spans="1:15" x14ac:dyDescent="0.3">
      <c r="A870" s="10">
        <v>869</v>
      </c>
      <c r="B870" s="18">
        <v>45795</v>
      </c>
      <c r="C870" s="6" t="s">
        <v>888</v>
      </c>
      <c r="D870" s="6" t="s">
        <v>3</v>
      </c>
      <c r="E870" s="6" t="s">
        <v>19</v>
      </c>
      <c r="F870" s="6">
        <v>46</v>
      </c>
      <c r="G870" s="6" t="s">
        <v>27</v>
      </c>
      <c r="H870" s="6">
        <v>4</v>
      </c>
      <c r="I870" s="6">
        <v>317</v>
      </c>
      <c r="J870" s="11">
        <v>1268</v>
      </c>
      <c r="M870" s="6" t="str" cm="1">
        <f t="array" ref="M870">_xlfn.IFS(J870&lt;=500,"Low",J870&gt;=1500,"Mid",J870&lt;=1500,"High",TRUE,"no")</f>
        <v>High</v>
      </c>
      <c r="N870" s="6"/>
      <c r="O870" s="6" t="str">
        <f t="shared" si="21"/>
        <v>Bob</v>
      </c>
    </row>
    <row r="871" spans="1:15" x14ac:dyDescent="0.3">
      <c r="A871" s="10">
        <v>870</v>
      </c>
      <c r="B871" s="18">
        <v>45796</v>
      </c>
      <c r="C871" s="6" t="s">
        <v>889</v>
      </c>
      <c r="D871" s="6" t="s">
        <v>4</v>
      </c>
      <c r="E871" s="6" t="s">
        <v>14</v>
      </c>
      <c r="F871" s="6">
        <v>58</v>
      </c>
      <c r="G871" s="6" t="s">
        <v>17</v>
      </c>
      <c r="H871" s="6">
        <v>4</v>
      </c>
      <c r="I871" s="6">
        <v>447</v>
      </c>
      <c r="J871" s="11">
        <v>1788</v>
      </c>
      <c r="M871" s="6" t="str" cm="1">
        <f t="array" ref="M871">_xlfn.IFS(J871&lt;=500,"Low",J871&gt;=1500,"Mid",J871&lt;=1500,"High",TRUE,"no")</f>
        <v>Mid</v>
      </c>
      <c r="N871" s="6"/>
      <c r="O871" s="6" t="str">
        <f t="shared" si="21"/>
        <v>Alice</v>
      </c>
    </row>
    <row r="872" spans="1:15" x14ac:dyDescent="0.3">
      <c r="A872" s="10">
        <v>871</v>
      </c>
      <c r="B872" s="18">
        <v>45797</v>
      </c>
      <c r="C872" s="6" t="s">
        <v>890</v>
      </c>
      <c r="D872" s="6" t="s">
        <v>3</v>
      </c>
      <c r="E872" s="6" t="s">
        <v>14</v>
      </c>
      <c r="F872" s="6">
        <v>34</v>
      </c>
      <c r="G872" s="6" t="s">
        <v>20</v>
      </c>
      <c r="H872" s="6">
        <v>5</v>
      </c>
      <c r="I872" s="6">
        <v>100</v>
      </c>
      <c r="J872" s="11">
        <v>500</v>
      </c>
      <c r="M872" s="6" t="str" cm="1">
        <f t="array" ref="M872">_xlfn.IFS(J872&lt;=500,"Low",J872&gt;=1500,"Mid",J872&lt;=1500,"High",TRUE,"no")</f>
        <v>Low</v>
      </c>
      <c r="N872" s="6"/>
      <c r="O872" s="6" t="str">
        <f t="shared" si="21"/>
        <v>Bob</v>
      </c>
    </row>
    <row r="873" spans="1:15" x14ac:dyDescent="0.3">
      <c r="A873" s="10">
        <v>872</v>
      </c>
      <c r="B873" s="18">
        <v>45798</v>
      </c>
      <c r="C873" s="6" t="s">
        <v>891</v>
      </c>
      <c r="D873" s="6" t="s">
        <v>1</v>
      </c>
      <c r="E873" s="6" t="s">
        <v>19</v>
      </c>
      <c r="F873" s="6">
        <v>52</v>
      </c>
      <c r="G873" s="6" t="s">
        <v>20</v>
      </c>
      <c r="H873" s="6">
        <v>4</v>
      </c>
      <c r="I873" s="6">
        <v>307</v>
      </c>
      <c r="J873" s="11">
        <v>1228</v>
      </c>
      <c r="M873" s="6" t="str" cm="1">
        <f t="array" ref="M873">_xlfn.IFS(J873&lt;=500,"Low",J873&gt;=1500,"Mid",J873&lt;=1500,"High",TRUE,"no")</f>
        <v>High</v>
      </c>
      <c r="N873" s="6"/>
      <c r="O873" s="6" t="str">
        <f t="shared" si="21"/>
        <v>Charlie</v>
      </c>
    </row>
    <row r="874" spans="1:15" x14ac:dyDescent="0.3">
      <c r="A874" s="10">
        <v>873</v>
      </c>
      <c r="B874" s="18">
        <v>45799</v>
      </c>
      <c r="C874" s="6" t="s">
        <v>892</v>
      </c>
      <c r="D874" s="6" t="s">
        <v>3</v>
      </c>
      <c r="E874" s="6" t="s">
        <v>19</v>
      </c>
      <c r="F874" s="6">
        <v>52</v>
      </c>
      <c r="G874" s="6" t="s">
        <v>27</v>
      </c>
      <c r="H874" s="6">
        <v>3</v>
      </c>
      <c r="I874" s="6">
        <v>60</v>
      </c>
      <c r="J874" s="11">
        <v>180</v>
      </c>
      <c r="M874" s="6" t="str" cm="1">
        <f t="array" ref="M874">_xlfn.IFS(J874&lt;=500,"Low",J874&gt;=1500,"Mid",J874&lt;=1500,"High",TRUE,"no")</f>
        <v>Low</v>
      </c>
      <c r="N874" s="6"/>
      <c r="O874" s="6" t="str">
        <f t="shared" si="21"/>
        <v>Bob</v>
      </c>
    </row>
    <row r="875" spans="1:15" x14ac:dyDescent="0.3">
      <c r="A875" s="10">
        <v>874</v>
      </c>
      <c r="B875" s="18">
        <v>45800</v>
      </c>
      <c r="C875" s="6" t="s">
        <v>893</v>
      </c>
      <c r="D875" s="6" t="s">
        <v>3</v>
      </c>
      <c r="E875" s="6" t="s">
        <v>14</v>
      </c>
      <c r="F875" s="6">
        <v>35</v>
      </c>
      <c r="G875" s="6" t="s">
        <v>15</v>
      </c>
      <c r="H875" s="6">
        <v>3</v>
      </c>
      <c r="I875" s="6">
        <v>43</v>
      </c>
      <c r="J875" s="11">
        <v>129</v>
      </c>
      <c r="M875" s="6" t="str" cm="1">
        <f t="array" ref="M875">_xlfn.IFS(J875&lt;=500,"Low",J875&gt;=1500,"Mid",J875&lt;=1500,"High",TRUE,"no")</f>
        <v>Low</v>
      </c>
      <c r="N875" s="6"/>
      <c r="O875" s="6" t="str">
        <f t="shared" si="21"/>
        <v>Bob</v>
      </c>
    </row>
    <row r="876" spans="1:15" x14ac:dyDescent="0.3">
      <c r="A876" s="10">
        <v>875</v>
      </c>
      <c r="B876" s="18">
        <v>45801</v>
      </c>
      <c r="C876" s="6" t="s">
        <v>894</v>
      </c>
      <c r="D876" s="6" t="s">
        <v>2</v>
      </c>
      <c r="E876" s="6" t="s">
        <v>19</v>
      </c>
      <c r="F876" s="6">
        <v>32</v>
      </c>
      <c r="G876" s="6" t="s">
        <v>17</v>
      </c>
      <c r="H876" s="6">
        <v>4</v>
      </c>
      <c r="I876" s="6">
        <v>137</v>
      </c>
      <c r="J876" s="11">
        <v>548</v>
      </c>
      <c r="M876" s="6" t="str" cm="1">
        <f t="array" ref="M876">_xlfn.IFS(J876&lt;=500,"Low",J876&gt;=1500,"Mid",J876&lt;=1500,"High",TRUE,"no")</f>
        <v>High</v>
      </c>
      <c r="N876" s="6"/>
      <c r="O876" s="6" t="str">
        <f t="shared" si="21"/>
        <v>Diana</v>
      </c>
    </row>
    <row r="877" spans="1:15" x14ac:dyDescent="0.3">
      <c r="A877" s="10">
        <v>876</v>
      </c>
      <c r="B877" s="18">
        <v>45802</v>
      </c>
      <c r="C877" s="6" t="s">
        <v>895</v>
      </c>
      <c r="D877" s="6" t="s">
        <v>1</v>
      </c>
      <c r="E877" s="6" t="s">
        <v>14</v>
      </c>
      <c r="F877" s="6">
        <v>54</v>
      </c>
      <c r="G877" s="6" t="s">
        <v>27</v>
      </c>
      <c r="H877" s="6">
        <v>3</v>
      </c>
      <c r="I877" s="6">
        <v>117</v>
      </c>
      <c r="J877" s="11">
        <v>351</v>
      </c>
      <c r="M877" s="6" t="str" cm="1">
        <f t="array" ref="M877">_xlfn.IFS(J877&lt;=500,"Low",J877&gt;=1500,"Mid",J877&lt;=1500,"High",TRUE,"no")</f>
        <v>Low</v>
      </c>
      <c r="N877" s="6"/>
      <c r="O877" s="6" t="str">
        <f t="shared" si="21"/>
        <v>Charlie</v>
      </c>
    </row>
    <row r="878" spans="1:15" x14ac:dyDescent="0.3">
      <c r="A878" s="10">
        <v>877</v>
      </c>
      <c r="B878" s="18">
        <v>45803</v>
      </c>
      <c r="C878" s="6" t="s">
        <v>896</v>
      </c>
      <c r="D878" s="6" t="s">
        <v>3</v>
      </c>
      <c r="E878" s="6" t="s">
        <v>14</v>
      </c>
      <c r="F878" s="6">
        <v>25</v>
      </c>
      <c r="G878" s="6" t="s">
        <v>17</v>
      </c>
      <c r="H878" s="6">
        <v>2</v>
      </c>
      <c r="I878" s="6">
        <v>181</v>
      </c>
      <c r="J878" s="11">
        <v>362</v>
      </c>
      <c r="M878" s="6" t="str" cm="1">
        <f t="array" ref="M878">_xlfn.IFS(J878&lt;=500,"Low",J878&gt;=1500,"Mid",J878&lt;=1500,"High",TRUE,"no")</f>
        <v>Low</v>
      </c>
      <c r="N878" s="6"/>
      <c r="O878" s="6" t="str">
        <f t="shared" si="21"/>
        <v>Bob</v>
      </c>
    </row>
    <row r="879" spans="1:15" x14ac:dyDescent="0.3">
      <c r="A879" s="10">
        <v>878</v>
      </c>
      <c r="B879" s="18">
        <v>45804</v>
      </c>
      <c r="C879" s="6" t="s">
        <v>897</v>
      </c>
      <c r="D879" s="6" t="s">
        <v>3</v>
      </c>
      <c r="E879" s="6" t="s">
        <v>19</v>
      </c>
      <c r="F879" s="6">
        <v>37</v>
      </c>
      <c r="G879" s="6" t="s">
        <v>17</v>
      </c>
      <c r="H879" s="6">
        <v>5</v>
      </c>
      <c r="I879" s="6">
        <v>182</v>
      </c>
      <c r="J879" s="11">
        <v>910</v>
      </c>
      <c r="M879" s="6" t="str" cm="1">
        <f t="array" ref="M879">_xlfn.IFS(J879&lt;=500,"Low",J879&gt;=1500,"Mid",J879&lt;=1500,"High",TRUE,"no")</f>
        <v>High</v>
      </c>
      <c r="N879" s="6"/>
      <c r="O879" s="6" t="str">
        <f t="shared" si="21"/>
        <v>Bob</v>
      </c>
    </row>
    <row r="880" spans="1:15" x14ac:dyDescent="0.3">
      <c r="A880" s="10">
        <v>879</v>
      </c>
      <c r="B880" s="18">
        <v>45805</v>
      </c>
      <c r="C880" s="6" t="s">
        <v>898</v>
      </c>
      <c r="D880" s="6" t="s">
        <v>3</v>
      </c>
      <c r="E880" s="6" t="s">
        <v>14</v>
      </c>
      <c r="F880" s="6">
        <v>51</v>
      </c>
      <c r="G880" s="6" t="s">
        <v>20</v>
      </c>
      <c r="H880" s="6">
        <v>1</v>
      </c>
      <c r="I880" s="6">
        <v>42</v>
      </c>
      <c r="J880" s="11">
        <v>42</v>
      </c>
      <c r="M880" s="6" t="str" cm="1">
        <f t="array" ref="M880">_xlfn.IFS(J880&lt;=500,"Low",J880&gt;=1500,"Mid",J880&lt;=1500,"High",TRUE,"no")</f>
        <v>Low</v>
      </c>
      <c r="N880" s="6"/>
      <c r="O880" s="6" t="str">
        <f t="shared" si="21"/>
        <v>Bob</v>
      </c>
    </row>
    <row r="881" spans="1:15" x14ac:dyDescent="0.3">
      <c r="A881" s="10">
        <v>880</v>
      </c>
      <c r="B881" s="18">
        <v>45806</v>
      </c>
      <c r="C881" s="6" t="s">
        <v>899</v>
      </c>
      <c r="D881" s="6" t="s">
        <v>4</v>
      </c>
      <c r="E881" s="6" t="s">
        <v>14</v>
      </c>
      <c r="F881" s="6">
        <v>20</v>
      </c>
      <c r="G881" s="6" t="s">
        <v>15</v>
      </c>
      <c r="H881" s="6">
        <v>1</v>
      </c>
      <c r="I881" s="6">
        <v>344</v>
      </c>
      <c r="J881" s="11">
        <v>344</v>
      </c>
      <c r="M881" s="6" t="str" cm="1">
        <f t="array" ref="M881">_xlfn.IFS(J881&lt;=500,"Low",J881&gt;=1500,"Mid",J881&lt;=1500,"High",TRUE,"no")</f>
        <v>Low</v>
      </c>
      <c r="N881" s="6"/>
      <c r="O881" s="6" t="str">
        <f t="shared" si="21"/>
        <v>Alice</v>
      </c>
    </row>
    <row r="882" spans="1:15" x14ac:dyDescent="0.3">
      <c r="A882" s="10">
        <v>881</v>
      </c>
      <c r="B882" s="18">
        <v>45807</v>
      </c>
      <c r="C882" s="6" t="s">
        <v>900</v>
      </c>
      <c r="D882" s="6" t="s">
        <v>3</v>
      </c>
      <c r="E882" s="6" t="s">
        <v>19</v>
      </c>
      <c r="F882" s="6">
        <v>58</v>
      </c>
      <c r="G882" s="6" t="s">
        <v>23</v>
      </c>
      <c r="H882" s="6">
        <v>2</v>
      </c>
      <c r="I882" s="6">
        <v>342</v>
      </c>
      <c r="J882" s="11">
        <v>684</v>
      </c>
      <c r="M882" s="6" t="str" cm="1">
        <f t="array" ref="M882">_xlfn.IFS(J882&lt;=500,"Low",J882&gt;=1500,"Mid",J882&lt;=1500,"High",TRUE,"no")</f>
        <v>High</v>
      </c>
      <c r="N882" s="6"/>
      <c r="O882" s="6" t="str">
        <f t="shared" si="21"/>
        <v>Bob</v>
      </c>
    </row>
    <row r="883" spans="1:15" x14ac:dyDescent="0.3">
      <c r="A883" s="10">
        <v>882</v>
      </c>
      <c r="B883" s="18">
        <v>45808</v>
      </c>
      <c r="C883" s="6" t="s">
        <v>901</v>
      </c>
      <c r="D883" s="6" t="s">
        <v>2</v>
      </c>
      <c r="E883" s="6" t="s">
        <v>19</v>
      </c>
      <c r="F883" s="6">
        <v>33</v>
      </c>
      <c r="G883" s="6" t="s">
        <v>17</v>
      </c>
      <c r="H883" s="6">
        <v>1</v>
      </c>
      <c r="I883" s="6">
        <v>483</v>
      </c>
      <c r="J883" s="11">
        <v>483</v>
      </c>
      <c r="M883" s="6" t="str" cm="1">
        <f t="array" ref="M883">_xlfn.IFS(J883&lt;=500,"Low",J883&gt;=1500,"Mid",J883&lt;=1500,"High",TRUE,"no")</f>
        <v>Low</v>
      </c>
      <c r="N883" s="6"/>
      <c r="O883" s="6" t="str">
        <f t="shared" si="21"/>
        <v>Diana</v>
      </c>
    </row>
    <row r="884" spans="1:15" x14ac:dyDescent="0.3">
      <c r="A884" s="10">
        <v>883</v>
      </c>
      <c r="B884" s="18">
        <v>45809</v>
      </c>
      <c r="C884" s="6" t="s">
        <v>902</v>
      </c>
      <c r="D884" s="6" t="s">
        <v>1</v>
      </c>
      <c r="E884" s="6" t="s">
        <v>19</v>
      </c>
      <c r="F884" s="6">
        <v>41</v>
      </c>
      <c r="G884" s="6" t="s">
        <v>27</v>
      </c>
      <c r="H884" s="6">
        <v>2</v>
      </c>
      <c r="I884" s="6">
        <v>227</v>
      </c>
      <c r="J884" s="11">
        <v>454</v>
      </c>
      <c r="M884" s="6" t="str" cm="1">
        <f t="array" ref="M884">_xlfn.IFS(J884&lt;=500,"Low",J884&gt;=1500,"Mid",J884&lt;=1500,"High",TRUE,"no")</f>
        <v>Low</v>
      </c>
      <c r="N884" s="6"/>
      <c r="O884" s="6" t="str">
        <f t="shared" si="21"/>
        <v>Charlie</v>
      </c>
    </row>
    <row r="885" spans="1:15" x14ac:dyDescent="0.3">
      <c r="A885" s="10">
        <v>884</v>
      </c>
      <c r="B885" s="18">
        <v>45810</v>
      </c>
      <c r="C885" s="6" t="s">
        <v>903</v>
      </c>
      <c r="D885" s="6" t="s">
        <v>1</v>
      </c>
      <c r="E885" s="6" t="s">
        <v>19</v>
      </c>
      <c r="F885" s="6">
        <v>47</v>
      </c>
      <c r="G885" s="6" t="s">
        <v>17</v>
      </c>
      <c r="H885" s="6">
        <v>2</v>
      </c>
      <c r="I885" s="6">
        <v>373</v>
      </c>
      <c r="J885" s="11">
        <v>746</v>
      </c>
      <c r="M885" s="6" t="str" cm="1">
        <f t="array" ref="M885">_xlfn.IFS(J885&lt;=500,"Low",J885&gt;=1500,"Mid",J885&lt;=1500,"High",TRUE,"no")</f>
        <v>High</v>
      </c>
      <c r="N885" s="6"/>
      <c r="O885" s="6" t="str">
        <f t="shared" si="21"/>
        <v>Charlie</v>
      </c>
    </row>
    <row r="886" spans="1:15" x14ac:dyDescent="0.3">
      <c r="A886" s="10">
        <v>885</v>
      </c>
      <c r="B886" s="18">
        <v>45811</v>
      </c>
      <c r="C886" s="6" t="s">
        <v>904</v>
      </c>
      <c r="D886" s="6" t="s">
        <v>3</v>
      </c>
      <c r="E886" s="6" t="s">
        <v>19</v>
      </c>
      <c r="F886" s="6">
        <v>49</v>
      </c>
      <c r="G886" s="6" t="s">
        <v>27</v>
      </c>
      <c r="H886" s="6">
        <v>3</v>
      </c>
      <c r="I886" s="6">
        <v>296</v>
      </c>
      <c r="J886" s="11">
        <v>888</v>
      </c>
      <c r="M886" s="6" t="str" cm="1">
        <f t="array" ref="M886">_xlfn.IFS(J886&lt;=500,"Low",J886&gt;=1500,"Mid",J886&lt;=1500,"High",TRUE,"no")</f>
        <v>High</v>
      </c>
      <c r="N886" s="6"/>
      <c r="O886" s="6" t="str">
        <f t="shared" si="21"/>
        <v>Bob</v>
      </c>
    </row>
    <row r="887" spans="1:15" x14ac:dyDescent="0.3">
      <c r="A887" s="10">
        <v>886</v>
      </c>
      <c r="B887" s="18">
        <v>45812</v>
      </c>
      <c r="C887" s="6" t="s">
        <v>905</v>
      </c>
      <c r="D887" s="6" t="s">
        <v>3</v>
      </c>
      <c r="E887" s="6" t="s">
        <v>19</v>
      </c>
      <c r="F887" s="6">
        <v>35</v>
      </c>
      <c r="G887" s="6" t="s">
        <v>23</v>
      </c>
      <c r="H887" s="6">
        <v>5</v>
      </c>
      <c r="I887" s="6">
        <v>300</v>
      </c>
      <c r="J887" s="11">
        <v>1500</v>
      </c>
      <c r="M887" s="6" t="str" cm="1">
        <f t="array" ref="M887">_xlfn.IFS(J887&lt;=500,"Low",J887&gt;=1500,"Mid",J887&lt;=1500,"High",TRUE,"no")</f>
        <v>Mid</v>
      </c>
      <c r="N887" s="6"/>
      <c r="O887" s="6" t="str">
        <f t="shared" si="21"/>
        <v>Bob</v>
      </c>
    </row>
    <row r="888" spans="1:15" x14ac:dyDescent="0.3">
      <c r="A888" s="10">
        <v>887</v>
      </c>
      <c r="B888" s="18">
        <v>45813</v>
      </c>
      <c r="C888" s="6" t="s">
        <v>906</v>
      </c>
      <c r="D888" s="6" t="s">
        <v>3</v>
      </c>
      <c r="E888" s="6" t="s">
        <v>19</v>
      </c>
      <c r="F888" s="6">
        <v>44</v>
      </c>
      <c r="G888" s="6" t="s">
        <v>20</v>
      </c>
      <c r="H888" s="6">
        <v>3</v>
      </c>
      <c r="I888" s="6">
        <v>53</v>
      </c>
      <c r="J888" s="11">
        <v>159</v>
      </c>
      <c r="M888" s="6" t="str" cm="1">
        <f t="array" ref="M888">_xlfn.IFS(J888&lt;=500,"Low",J888&gt;=1500,"Mid",J888&lt;=1500,"High",TRUE,"no")</f>
        <v>Low</v>
      </c>
      <c r="N888" s="6"/>
      <c r="O888" s="6" t="str">
        <f t="shared" si="21"/>
        <v>Bob</v>
      </c>
    </row>
    <row r="889" spans="1:15" x14ac:dyDescent="0.3">
      <c r="A889" s="10">
        <v>888</v>
      </c>
      <c r="B889" s="18">
        <v>45814</v>
      </c>
      <c r="C889" s="6" t="s">
        <v>907</v>
      </c>
      <c r="D889" s="6" t="s">
        <v>1</v>
      </c>
      <c r="E889" s="6" t="s">
        <v>19</v>
      </c>
      <c r="F889" s="6">
        <v>25</v>
      </c>
      <c r="G889" s="6" t="s">
        <v>23</v>
      </c>
      <c r="H889" s="6">
        <v>2</v>
      </c>
      <c r="I889" s="6">
        <v>381</v>
      </c>
      <c r="J889" s="11">
        <v>762</v>
      </c>
      <c r="M889" s="6" t="str" cm="1">
        <f t="array" ref="M889">_xlfn.IFS(J889&lt;=500,"Low",J889&gt;=1500,"Mid",J889&lt;=1500,"High",TRUE,"no")</f>
        <v>High</v>
      </c>
      <c r="N889" s="6"/>
      <c r="O889" s="6" t="str">
        <f t="shared" si="21"/>
        <v>Charlie</v>
      </c>
    </row>
    <row r="890" spans="1:15" x14ac:dyDescent="0.3">
      <c r="A890" s="10">
        <v>889</v>
      </c>
      <c r="B890" s="18">
        <v>45815</v>
      </c>
      <c r="C890" s="6" t="s">
        <v>908</v>
      </c>
      <c r="D890" s="6" t="s">
        <v>1</v>
      </c>
      <c r="E890" s="6" t="s">
        <v>14</v>
      </c>
      <c r="F890" s="6">
        <v>60</v>
      </c>
      <c r="G890" s="6" t="s">
        <v>20</v>
      </c>
      <c r="H890" s="6">
        <v>2</v>
      </c>
      <c r="I890" s="6">
        <v>363</v>
      </c>
      <c r="J890" s="11">
        <v>726</v>
      </c>
      <c r="M890" s="6" t="str" cm="1">
        <f t="array" ref="M890">_xlfn.IFS(J890&lt;=500,"Low",J890&gt;=1500,"Mid",J890&lt;=1500,"High",TRUE,"no")</f>
        <v>High</v>
      </c>
      <c r="N890" s="6"/>
      <c r="O890" s="6" t="str">
        <f t="shared" si="21"/>
        <v>Charlie</v>
      </c>
    </row>
    <row r="891" spans="1:15" x14ac:dyDescent="0.3">
      <c r="A891" s="10">
        <v>890</v>
      </c>
      <c r="B891" s="18">
        <v>45816</v>
      </c>
      <c r="C891" s="6" t="s">
        <v>909</v>
      </c>
      <c r="D891" s="6" t="s">
        <v>4</v>
      </c>
      <c r="E891" s="6" t="s">
        <v>14</v>
      </c>
      <c r="F891" s="6">
        <v>48</v>
      </c>
      <c r="G891" s="6" t="s">
        <v>20</v>
      </c>
      <c r="H891" s="6">
        <v>1</v>
      </c>
      <c r="I891" s="6">
        <v>213</v>
      </c>
      <c r="J891" s="11">
        <v>213</v>
      </c>
      <c r="M891" s="6" t="str" cm="1">
        <f t="array" ref="M891">_xlfn.IFS(J891&lt;=500,"Low",J891&gt;=1500,"Mid",J891&lt;=1500,"High",TRUE,"no")</f>
        <v>Low</v>
      </c>
      <c r="N891" s="6"/>
      <c r="O891" s="6" t="str">
        <f t="shared" si="21"/>
        <v>Alice</v>
      </c>
    </row>
    <row r="892" spans="1:15" x14ac:dyDescent="0.3">
      <c r="A892" s="10">
        <v>891</v>
      </c>
      <c r="B892" s="18">
        <v>45817</v>
      </c>
      <c r="C892" s="6" t="s">
        <v>910</v>
      </c>
      <c r="D892" s="6" t="s">
        <v>2</v>
      </c>
      <c r="E892" s="6" t="s">
        <v>19</v>
      </c>
      <c r="F892" s="6">
        <v>33</v>
      </c>
      <c r="G892" s="6" t="s">
        <v>27</v>
      </c>
      <c r="H892" s="6">
        <v>2</v>
      </c>
      <c r="I892" s="6">
        <v>87</v>
      </c>
      <c r="J892" s="11">
        <v>174</v>
      </c>
      <c r="M892" s="6" t="str" cm="1">
        <f t="array" ref="M892">_xlfn.IFS(J892&lt;=500,"Low",J892&gt;=1500,"Mid",J892&lt;=1500,"High",TRUE,"no")</f>
        <v>Low</v>
      </c>
      <c r="N892" s="6"/>
      <c r="O892" s="6" t="str">
        <f t="shared" si="21"/>
        <v>Diana</v>
      </c>
    </row>
    <row r="893" spans="1:15" x14ac:dyDescent="0.3">
      <c r="A893" s="10">
        <v>892</v>
      </c>
      <c r="B893" s="18">
        <v>45818</v>
      </c>
      <c r="C893" s="6" t="s">
        <v>911</v>
      </c>
      <c r="D893" s="6" t="s">
        <v>4</v>
      </c>
      <c r="E893" s="6" t="s">
        <v>19</v>
      </c>
      <c r="F893" s="6">
        <v>46</v>
      </c>
      <c r="G893" s="6" t="s">
        <v>27</v>
      </c>
      <c r="H893" s="6">
        <v>2</v>
      </c>
      <c r="I893" s="6">
        <v>238</v>
      </c>
      <c r="J893" s="11">
        <v>476</v>
      </c>
      <c r="M893" s="6" t="str" cm="1">
        <f t="array" ref="M893">_xlfn.IFS(J893&lt;=500,"Low",J893&gt;=1500,"Mid",J893&lt;=1500,"High",TRUE,"no")</f>
        <v>Low</v>
      </c>
      <c r="N893" s="6"/>
      <c r="O893" s="6" t="str">
        <f t="shared" si="21"/>
        <v>Alice</v>
      </c>
    </row>
    <row r="894" spans="1:15" x14ac:dyDescent="0.3">
      <c r="A894" s="10">
        <v>893</v>
      </c>
      <c r="B894" s="18">
        <v>45819</v>
      </c>
      <c r="C894" s="6" t="s">
        <v>912</v>
      </c>
      <c r="D894" s="6" t="s">
        <v>2</v>
      </c>
      <c r="E894" s="6" t="s">
        <v>14</v>
      </c>
      <c r="F894" s="6">
        <v>34</v>
      </c>
      <c r="G894" s="6" t="s">
        <v>20</v>
      </c>
      <c r="H894" s="6">
        <v>2</v>
      </c>
      <c r="I894" s="6">
        <v>103</v>
      </c>
      <c r="J894" s="11">
        <v>206</v>
      </c>
      <c r="M894" s="6" t="str" cm="1">
        <f t="array" ref="M894">_xlfn.IFS(J894&lt;=500,"Low",J894&gt;=1500,"Mid",J894&lt;=1500,"High",TRUE,"no")</f>
        <v>Low</v>
      </c>
      <c r="N894" s="6"/>
      <c r="O894" s="6" t="str">
        <f t="shared" si="21"/>
        <v>Diana</v>
      </c>
    </row>
    <row r="895" spans="1:15" x14ac:dyDescent="0.3">
      <c r="A895" s="10">
        <v>894</v>
      </c>
      <c r="B895" s="18">
        <v>45820</v>
      </c>
      <c r="C895" s="6" t="s">
        <v>913</v>
      </c>
      <c r="D895" s="6" t="s">
        <v>4</v>
      </c>
      <c r="E895" s="6" t="s">
        <v>14</v>
      </c>
      <c r="F895" s="6">
        <v>43</v>
      </c>
      <c r="G895" s="6" t="s">
        <v>27</v>
      </c>
      <c r="H895" s="6">
        <v>2</v>
      </c>
      <c r="I895" s="6">
        <v>413</v>
      </c>
      <c r="J895" s="11">
        <v>826</v>
      </c>
      <c r="M895" s="6" t="str" cm="1">
        <f t="array" ref="M895">_xlfn.IFS(J895&lt;=500,"Low",J895&gt;=1500,"Mid",J895&lt;=1500,"High",TRUE,"no")</f>
        <v>High</v>
      </c>
      <c r="N895" s="6"/>
      <c r="O895" s="6" t="str">
        <f t="shared" si="21"/>
        <v>Alice</v>
      </c>
    </row>
    <row r="896" spans="1:15" x14ac:dyDescent="0.3">
      <c r="A896" s="10">
        <v>895</v>
      </c>
      <c r="B896" s="18">
        <v>45821</v>
      </c>
      <c r="C896" s="6" t="s">
        <v>914</v>
      </c>
      <c r="D896" s="6" t="s">
        <v>1</v>
      </c>
      <c r="E896" s="6" t="s">
        <v>19</v>
      </c>
      <c r="F896" s="6">
        <v>30</v>
      </c>
      <c r="G896" s="6" t="s">
        <v>27</v>
      </c>
      <c r="H896" s="6">
        <v>5</v>
      </c>
      <c r="I896" s="6">
        <v>401</v>
      </c>
      <c r="J896" s="11">
        <v>2005</v>
      </c>
      <c r="M896" s="6" t="str" cm="1">
        <f t="array" ref="M896">_xlfn.IFS(J896&lt;=500,"Low",J896&gt;=1500,"Mid",J896&lt;=1500,"High",TRUE,"no")</f>
        <v>Mid</v>
      </c>
      <c r="N896" s="6"/>
      <c r="O896" s="6" t="str">
        <f t="shared" si="21"/>
        <v>Charlie</v>
      </c>
    </row>
    <row r="897" spans="1:15" x14ac:dyDescent="0.3">
      <c r="A897" s="10">
        <v>896</v>
      </c>
      <c r="B897" s="18">
        <v>45822</v>
      </c>
      <c r="C897" s="6" t="s">
        <v>915</v>
      </c>
      <c r="D897" s="6" t="s">
        <v>4</v>
      </c>
      <c r="E897" s="6" t="s">
        <v>19</v>
      </c>
      <c r="F897" s="6">
        <v>29</v>
      </c>
      <c r="G897" s="6" t="s">
        <v>23</v>
      </c>
      <c r="H897" s="6">
        <v>5</v>
      </c>
      <c r="I897" s="6">
        <v>30</v>
      </c>
      <c r="J897" s="11">
        <v>150</v>
      </c>
      <c r="M897" s="6" t="str" cm="1">
        <f t="array" ref="M897">_xlfn.IFS(J897&lt;=500,"Low",J897&gt;=1500,"Mid",J897&lt;=1500,"High",TRUE,"no")</f>
        <v>Low</v>
      </c>
      <c r="N897" s="6"/>
      <c r="O897" s="6" t="str">
        <f t="shared" si="21"/>
        <v>Alice</v>
      </c>
    </row>
    <row r="898" spans="1:15" x14ac:dyDescent="0.3">
      <c r="A898" s="10">
        <v>897</v>
      </c>
      <c r="B898" s="18">
        <v>45823</v>
      </c>
      <c r="C898" s="6" t="s">
        <v>916</v>
      </c>
      <c r="D898" s="6" t="s">
        <v>2</v>
      </c>
      <c r="E898" s="6" t="s">
        <v>19</v>
      </c>
      <c r="F898" s="6">
        <v>49</v>
      </c>
      <c r="G898" s="6" t="s">
        <v>15</v>
      </c>
      <c r="H898" s="6">
        <v>2</v>
      </c>
      <c r="I898" s="6">
        <v>302</v>
      </c>
      <c r="J898" s="11">
        <v>604</v>
      </c>
      <c r="M898" s="6" t="str" cm="1">
        <f t="array" ref="M898">_xlfn.IFS(J898&lt;=500,"Low",J898&gt;=1500,"Mid",J898&lt;=1500,"High",TRUE,"no")</f>
        <v>High</v>
      </c>
      <c r="N898" s="6"/>
      <c r="O898" s="6" t="str">
        <f t="shared" si="21"/>
        <v>Diana</v>
      </c>
    </row>
    <row r="899" spans="1:15" x14ac:dyDescent="0.3">
      <c r="A899" s="10">
        <v>898</v>
      </c>
      <c r="B899" s="18">
        <v>45824</v>
      </c>
      <c r="C899" s="6" t="s">
        <v>917</v>
      </c>
      <c r="D899" s="6" t="s">
        <v>3</v>
      </c>
      <c r="E899" s="6" t="s">
        <v>14</v>
      </c>
      <c r="F899" s="6">
        <v>26</v>
      </c>
      <c r="G899" s="6" t="s">
        <v>27</v>
      </c>
      <c r="H899" s="6">
        <v>5</v>
      </c>
      <c r="I899" s="6">
        <v>487</v>
      </c>
      <c r="J899" s="11">
        <v>2435</v>
      </c>
      <c r="M899" s="6" t="str" cm="1">
        <f t="array" ref="M899">_xlfn.IFS(J899&lt;=500,"Low",J899&gt;=1500,"Mid",J899&lt;=1500,"High",TRUE,"no")</f>
        <v>Mid</v>
      </c>
      <c r="N899" s="6"/>
      <c r="O899" s="6" t="str">
        <f t="shared" ref="O899:O962" si="22">INDEX(D899:D1898,MATCH($D$2,$D$2:$D$1001,0))</f>
        <v>Bob</v>
      </c>
    </row>
    <row r="900" spans="1:15" x14ac:dyDescent="0.3">
      <c r="A900" s="10">
        <v>899</v>
      </c>
      <c r="B900" s="18">
        <v>45825</v>
      </c>
      <c r="C900" s="6" t="s">
        <v>918</v>
      </c>
      <c r="D900" s="6" t="s">
        <v>2</v>
      </c>
      <c r="E900" s="6" t="s">
        <v>14</v>
      </c>
      <c r="F900" s="6">
        <v>51</v>
      </c>
      <c r="G900" s="6" t="s">
        <v>17</v>
      </c>
      <c r="H900" s="6">
        <v>4</v>
      </c>
      <c r="I900" s="6">
        <v>309</v>
      </c>
      <c r="J900" s="11">
        <v>1236</v>
      </c>
      <c r="M900" s="6" t="str" cm="1">
        <f t="array" ref="M900">_xlfn.IFS(J900&lt;=500,"Low",J900&gt;=1500,"Mid",J900&lt;=1500,"High",TRUE,"no")</f>
        <v>High</v>
      </c>
      <c r="N900" s="6"/>
      <c r="O900" s="6" t="str">
        <f t="shared" si="22"/>
        <v>Diana</v>
      </c>
    </row>
    <row r="901" spans="1:15" x14ac:dyDescent="0.3">
      <c r="A901" s="10">
        <v>900</v>
      </c>
      <c r="B901" s="18">
        <v>45826</v>
      </c>
      <c r="C901" s="6" t="s">
        <v>919</v>
      </c>
      <c r="D901" s="6" t="s">
        <v>3</v>
      </c>
      <c r="E901" s="6" t="s">
        <v>14</v>
      </c>
      <c r="F901" s="6">
        <v>25</v>
      </c>
      <c r="G901" s="6" t="s">
        <v>23</v>
      </c>
      <c r="H901" s="6">
        <v>1</v>
      </c>
      <c r="I901" s="6">
        <v>45</v>
      </c>
      <c r="J901" s="11">
        <v>45</v>
      </c>
      <c r="M901" s="6" t="str" cm="1">
        <f t="array" ref="M901">_xlfn.IFS(J901&lt;=500,"Low",J901&gt;=1500,"Mid",J901&lt;=1500,"High",TRUE,"no")</f>
        <v>Low</v>
      </c>
      <c r="N901" s="6"/>
      <c r="O901" s="6" t="str">
        <f t="shared" si="22"/>
        <v>Bob</v>
      </c>
    </row>
    <row r="902" spans="1:15" x14ac:dyDescent="0.3">
      <c r="A902" s="10">
        <v>901</v>
      </c>
      <c r="B902" s="18">
        <v>45827</v>
      </c>
      <c r="C902" s="6" t="s">
        <v>920</v>
      </c>
      <c r="D902" s="6" t="s">
        <v>1</v>
      </c>
      <c r="E902" s="6" t="s">
        <v>19</v>
      </c>
      <c r="F902" s="6">
        <v>29</v>
      </c>
      <c r="G902" s="6" t="s">
        <v>27</v>
      </c>
      <c r="H902" s="6">
        <v>5</v>
      </c>
      <c r="I902" s="6">
        <v>159</v>
      </c>
      <c r="J902" s="11">
        <v>795</v>
      </c>
      <c r="M902" s="6" t="str" cm="1">
        <f t="array" ref="M902">_xlfn.IFS(J902&lt;=500,"Low",J902&gt;=1500,"Mid",J902&lt;=1500,"High",TRUE,"no")</f>
        <v>High</v>
      </c>
      <c r="N902" s="6"/>
      <c r="O902" s="6" t="str">
        <f t="shared" si="22"/>
        <v>Charlie</v>
      </c>
    </row>
    <row r="903" spans="1:15" x14ac:dyDescent="0.3">
      <c r="A903" s="10">
        <v>902</v>
      </c>
      <c r="B903" s="18">
        <v>45828</v>
      </c>
      <c r="C903" s="6" t="s">
        <v>921</v>
      </c>
      <c r="D903" s="6" t="s">
        <v>2</v>
      </c>
      <c r="E903" s="6" t="s">
        <v>14</v>
      </c>
      <c r="F903" s="6">
        <v>23</v>
      </c>
      <c r="G903" s="6" t="s">
        <v>20</v>
      </c>
      <c r="H903" s="6">
        <v>1</v>
      </c>
      <c r="I903" s="6">
        <v>474</v>
      </c>
      <c r="J903" s="11">
        <v>474</v>
      </c>
      <c r="M903" s="6" t="str" cm="1">
        <f t="array" ref="M903">_xlfn.IFS(J903&lt;=500,"Low",J903&gt;=1500,"Mid",J903&lt;=1500,"High",TRUE,"no")</f>
        <v>Low</v>
      </c>
      <c r="N903" s="6"/>
      <c r="O903" s="6" t="str">
        <f t="shared" si="22"/>
        <v>Diana</v>
      </c>
    </row>
    <row r="904" spans="1:15" x14ac:dyDescent="0.3">
      <c r="A904" s="10">
        <v>903</v>
      </c>
      <c r="B904" s="18">
        <v>45829</v>
      </c>
      <c r="C904" s="6" t="s">
        <v>922</v>
      </c>
      <c r="D904" s="6" t="s">
        <v>4</v>
      </c>
      <c r="E904" s="6" t="s">
        <v>19</v>
      </c>
      <c r="F904" s="6">
        <v>25</v>
      </c>
      <c r="G904" s="6" t="s">
        <v>20</v>
      </c>
      <c r="H904" s="6">
        <v>5</v>
      </c>
      <c r="I904" s="6">
        <v>206</v>
      </c>
      <c r="J904" s="11">
        <v>1030</v>
      </c>
      <c r="M904" s="6" t="str" cm="1">
        <f t="array" ref="M904">_xlfn.IFS(J904&lt;=500,"Low",J904&gt;=1500,"Mid",J904&lt;=1500,"High",TRUE,"no")</f>
        <v>High</v>
      </c>
      <c r="N904" s="6"/>
      <c r="O904" s="6" t="str">
        <f t="shared" si="22"/>
        <v>Alice</v>
      </c>
    </row>
    <row r="905" spans="1:15" x14ac:dyDescent="0.3">
      <c r="A905" s="10">
        <v>904</v>
      </c>
      <c r="B905" s="18">
        <v>45830</v>
      </c>
      <c r="C905" s="6" t="s">
        <v>923</v>
      </c>
      <c r="D905" s="6" t="s">
        <v>2</v>
      </c>
      <c r="E905" s="6" t="s">
        <v>19</v>
      </c>
      <c r="F905" s="6">
        <v>22</v>
      </c>
      <c r="G905" s="6" t="s">
        <v>27</v>
      </c>
      <c r="H905" s="6">
        <v>4</v>
      </c>
      <c r="I905" s="6">
        <v>309</v>
      </c>
      <c r="J905" s="11">
        <v>1236</v>
      </c>
      <c r="M905" s="6" t="str" cm="1">
        <f t="array" ref="M905">_xlfn.IFS(J905&lt;=500,"Low",J905&gt;=1500,"Mid",J905&lt;=1500,"High",TRUE,"no")</f>
        <v>High</v>
      </c>
      <c r="N905" s="6"/>
      <c r="O905" s="6" t="str">
        <f t="shared" si="22"/>
        <v>Diana</v>
      </c>
    </row>
    <row r="906" spans="1:15" x14ac:dyDescent="0.3">
      <c r="A906" s="10">
        <v>905</v>
      </c>
      <c r="B906" s="18">
        <v>45831</v>
      </c>
      <c r="C906" s="6" t="s">
        <v>924</v>
      </c>
      <c r="D906" s="6" t="s">
        <v>3</v>
      </c>
      <c r="E906" s="6" t="s">
        <v>14</v>
      </c>
      <c r="F906" s="6">
        <v>52</v>
      </c>
      <c r="G906" s="6" t="s">
        <v>17</v>
      </c>
      <c r="H906" s="6">
        <v>2</v>
      </c>
      <c r="I906" s="6">
        <v>373</v>
      </c>
      <c r="J906" s="11">
        <v>746</v>
      </c>
      <c r="M906" s="6" t="str" cm="1">
        <f t="array" ref="M906">_xlfn.IFS(J906&lt;=500,"Low",J906&gt;=1500,"Mid",J906&lt;=1500,"High",TRUE,"no")</f>
        <v>High</v>
      </c>
      <c r="N906" s="6"/>
      <c r="O906" s="6" t="str">
        <f t="shared" si="22"/>
        <v>Bob</v>
      </c>
    </row>
    <row r="907" spans="1:15" x14ac:dyDescent="0.3">
      <c r="A907" s="10">
        <v>906</v>
      </c>
      <c r="B907" s="18">
        <v>45832</v>
      </c>
      <c r="C907" s="6" t="s">
        <v>925</v>
      </c>
      <c r="D907" s="6" t="s">
        <v>1</v>
      </c>
      <c r="E907" s="6" t="s">
        <v>19</v>
      </c>
      <c r="F907" s="6">
        <v>38</v>
      </c>
      <c r="G907" s="6" t="s">
        <v>15</v>
      </c>
      <c r="H907" s="6">
        <v>1</v>
      </c>
      <c r="I907" s="6">
        <v>335</v>
      </c>
      <c r="J907" s="11">
        <v>335</v>
      </c>
      <c r="M907" s="6" t="str" cm="1">
        <f t="array" ref="M907">_xlfn.IFS(J907&lt;=500,"Low",J907&gt;=1500,"Mid",J907&lt;=1500,"High",TRUE,"no")</f>
        <v>Low</v>
      </c>
      <c r="N907" s="6"/>
      <c r="O907" s="6" t="str">
        <f t="shared" si="22"/>
        <v>Charlie</v>
      </c>
    </row>
    <row r="908" spans="1:15" x14ac:dyDescent="0.3">
      <c r="A908" s="10">
        <v>907</v>
      </c>
      <c r="B908" s="18">
        <v>45833</v>
      </c>
      <c r="C908" s="6" t="s">
        <v>926</v>
      </c>
      <c r="D908" s="6" t="s">
        <v>4</v>
      </c>
      <c r="E908" s="6" t="s">
        <v>19</v>
      </c>
      <c r="F908" s="6">
        <v>55</v>
      </c>
      <c r="G908" s="6" t="s">
        <v>23</v>
      </c>
      <c r="H908" s="6">
        <v>5</v>
      </c>
      <c r="I908" s="6">
        <v>74</v>
      </c>
      <c r="J908" s="11">
        <v>370</v>
      </c>
      <c r="M908" s="6" t="str" cm="1">
        <f t="array" ref="M908">_xlfn.IFS(J908&lt;=500,"Low",J908&gt;=1500,"Mid",J908&lt;=1500,"High",TRUE,"no")</f>
        <v>Low</v>
      </c>
      <c r="N908" s="6"/>
      <c r="O908" s="6" t="str">
        <f t="shared" si="22"/>
        <v>Alice</v>
      </c>
    </row>
    <row r="909" spans="1:15" x14ac:dyDescent="0.3">
      <c r="A909" s="10">
        <v>908</v>
      </c>
      <c r="B909" s="18">
        <v>45834</v>
      </c>
      <c r="C909" s="6" t="s">
        <v>927</v>
      </c>
      <c r="D909" s="6" t="s">
        <v>2</v>
      </c>
      <c r="E909" s="6" t="s">
        <v>19</v>
      </c>
      <c r="F909" s="6">
        <v>26</v>
      </c>
      <c r="G909" s="6" t="s">
        <v>23</v>
      </c>
      <c r="H909" s="6">
        <v>1</v>
      </c>
      <c r="I909" s="6">
        <v>312</v>
      </c>
      <c r="J909" s="11">
        <v>312</v>
      </c>
      <c r="M909" s="6" t="str" cm="1">
        <f t="array" ref="M909">_xlfn.IFS(J909&lt;=500,"Low",J909&gt;=1500,"Mid",J909&lt;=1500,"High",TRUE,"no")</f>
        <v>Low</v>
      </c>
      <c r="N909" s="6"/>
      <c r="O909" s="6" t="str">
        <f t="shared" si="22"/>
        <v>Diana</v>
      </c>
    </row>
    <row r="910" spans="1:15" x14ac:dyDescent="0.3">
      <c r="A910" s="10">
        <v>909</v>
      </c>
      <c r="B910" s="18">
        <v>45835</v>
      </c>
      <c r="C910" s="6" t="s">
        <v>928</v>
      </c>
      <c r="D910" s="6" t="s">
        <v>3</v>
      </c>
      <c r="E910" s="6" t="s">
        <v>14</v>
      </c>
      <c r="F910" s="6">
        <v>42</v>
      </c>
      <c r="G910" s="6" t="s">
        <v>20</v>
      </c>
      <c r="H910" s="6">
        <v>4</v>
      </c>
      <c r="I910" s="6">
        <v>255</v>
      </c>
      <c r="J910" s="11">
        <v>1020</v>
      </c>
      <c r="M910" s="6" t="str" cm="1">
        <f t="array" ref="M910">_xlfn.IFS(J910&lt;=500,"Low",J910&gt;=1500,"Mid",J910&lt;=1500,"High",TRUE,"no")</f>
        <v>High</v>
      </c>
      <c r="N910" s="6"/>
      <c r="O910" s="6" t="str">
        <f t="shared" si="22"/>
        <v>Bob</v>
      </c>
    </row>
    <row r="911" spans="1:15" x14ac:dyDescent="0.3">
      <c r="A911" s="10">
        <v>910</v>
      </c>
      <c r="B911" s="18">
        <v>45836</v>
      </c>
      <c r="C911" s="6" t="s">
        <v>929</v>
      </c>
      <c r="D911" s="6" t="s">
        <v>4</v>
      </c>
      <c r="E911" s="6" t="s">
        <v>19</v>
      </c>
      <c r="F911" s="6">
        <v>27</v>
      </c>
      <c r="G911" s="6" t="s">
        <v>23</v>
      </c>
      <c r="H911" s="6">
        <v>2</v>
      </c>
      <c r="I911" s="6">
        <v>316</v>
      </c>
      <c r="J911" s="11">
        <v>632</v>
      </c>
      <c r="M911" s="6" t="str" cm="1">
        <f t="array" ref="M911">_xlfn.IFS(J911&lt;=500,"Low",J911&gt;=1500,"Mid",J911&lt;=1500,"High",TRUE,"no")</f>
        <v>High</v>
      </c>
      <c r="N911" s="6"/>
      <c r="O911" s="6" t="str">
        <f t="shared" si="22"/>
        <v>Alice</v>
      </c>
    </row>
    <row r="912" spans="1:15" x14ac:dyDescent="0.3">
      <c r="A912" s="10">
        <v>911</v>
      </c>
      <c r="B912" s="18">
        <v>45837</v>
      </c>
      <c r="C912" s="6" t="s">
        <v>930</v>
      </c>
      <c r="D912" s="6" t="s">
        <v>1</v>
      </c>
      <c r="E912" s="6" t="s">
        <v>19</v>
      </c>
      <c r="F912" s="6">
        <v>27</v>
      </c>
      <c r="G912" s="6" t="s">
        <v>15</v>
      </c>
      <c r="H912" s="6">
        <v>2</v>
      </c>
      <c r="I912" s="6">
        <v>390</v>
      </c>
      <c r="J912" s="11">
        <v>780</v>
      </c>
      <c r="M912" s="6" t="str" cm="1">
        <f t="array" ref="M912">_xlfn.IFS(J912&lt;=500,"Low",J912&gt;=1500,"Mid",J912&lt;=1500,"High",TRUE,"no")</f>
        <v>High</v>
      </c>
      <c r="N912" s="6"/>
      <c r="O912" s="6" t="str">
        <f t="shared" si="22"/>
        <v>Charlie</v>
      </c>
    </row>
    <row r="913" spans="1:15" x14ac:dyDescent="0.3">
      <c r="A913" s="10">
        <v>912</v>
      </c>
      <c r="B913" s="18">
        <v>45838</v>
      </c>
      <c r="C913" s="6" t="s">
        <v>931</v>
      </c>
      <c r="D913" s="6" t="s">
        <v>4</v>
      </c>
      <c r="E913" s="6" t="s">
        <v>14</v>
      </c>
      <c r="F913" s="6">
        <v>37</v>
      </c>
      <c r="G913" s="6" t="s">
        <v>15</v>
      </c>
      <c r="H913" s="6">
        <v>1</v>
      </c>
      <c r="I913" s="6">
        <v>123</v>
      </c>
      <c r="J913" s="11">
        <v>123</v>
      </c>
      <c r="M913" s="6" t="str" cm="1">
        <f t="array" ref="M913">_xlfn.IFS(J913&lt;=500,"Low",J913&gt;=1500,"Mid",J913&lt;=1500,"High",TRUE,"no")</f>
        <v>Low</v>
      </c>
      <c r="N913" s="6"/>
      <c r="O913" s="6" t="str">
        <f t="shared" si="22"/>
        <v>Alice</v>
      </c>
    </row>
    <row r="914" spans="1:15" x14ac:dyDescent="0.3">
      <c r="A914" s="10">
        <v>913</v>
      </c>
      <c r="B914" s="18">
        <v>45839</v>
      </c>
      <c r="C914" s="6" t="s">
        <v>932</v>
      </c>
      <c r="D914" s="6" t="s">
        <v>1</v>
      </c>
      <c r="E914" s="6" t="s">
        <v>19</v>
      </c>
      <c r="F914" s="6">
        <v>19</v>
      </c>
      <c r="G914" s="6" t="s">
        <v>17</v>
      </c>
      <c r="H914" s="6">
        <v>4</v>
      </c>
      <c r="I914" s="6">
        <v>131</v>
      </c>
      <c r="J914" s="11">
        <v>524</v>
      </c>
      <c r="M914" s="6" t="str" cm="1">
        <f t="array" ref="M914">_xlfn.IFS(J914&lt;=500,"Low",J914&gt;=1500,"Mid",J914&lt;=1500,"High",TRUE,"no")</f>
        <v>High</v>
      </c>
      <c r="N914" s="6"/>
      <c r="O914" s="6" t="str">
        <f t="shared" si="22"/>
        <v>Charlie</v>
      </c>
    </row>
    <row r="915" spans="1:15" x14ac:dyDescent="0.3">
      <c r="A915" s="10">
        <v>914</v>
      </c>
      <c r="B915" s="18">
        <v>45840</v>
      </c>
      <c r="C915" s="6" t="s">
        <v>933</v>
      </c>
      <c r="D915" s="6" t="s">
        <v>4</v>
      </c>
      <c r="E915" s="6" t="s">
        <v>19</v>
      </c>
      <c r="F915" s="6">
        <v>19</v>
      </c>
      <c r="G915" s="6" t="s">
        <v>23</v>
      </c>
      <c r="H915" s="6">
        <v>2</v>
      </c>
      <c r="I915" s="6">
        <v>486</v>
      </c>
      <c r="J915" s="11">
        <v>972</v>
      </c>
      <c r="M915" s="6" t="str" cm="1">
        <f t="array" ref="M915">_xlfn.IFS(J915&lt;=500,"Low",J915&gt;=1500,"Mid",J915&lt;=1500,"High",TRUE,"no")</f>
        <v>High</v>
      </c>
      <c r="N915" s="6"/>
      <c r="O915" s="6" t="str">
        <f t="shared" si="22"/>
        <v>Alice</v>
      </c>
    </row>
    <row r="916" spans="1:15" x14ac:dyDescent="0.3">
      <c r="A916" s="10">
        <v>915</v>
      </c>
      <c r="B916" s="18">
        <v>45841</v>
      </c>
      <c r="C916" s="6" t="s">
        <v>934</v>
      </c>
      <c r="D916" s="6" t="s">
        <v>2</v>
      </c>
      <c r="E916" s="6" t="s">
        <v>14</v>
      </c>
      <c r="F916" s="6">
        <v>39</v>
      </c>
      <c r="G916" s="6" t="s">
        <v>15</v>
      </c>
      <c r="H916" s="6">
        <v>5</v>
      </c>
      <c r="I916" s="6">
        <v>94</v>
      </c>
      <c r="J916" s="11">
        <v>470</v>
      </c>
      <c r="M916" s="6" t="str" cm="1">
        <f t="array" ref="M916">_xlfn.IFS(J916&lt;=500,"Low",J916&gt;=1500,"Mid",J916&lt;=1500,"High",TRUE,"no")</f>
        <v>Low</v>
      </c>
      <c r="N916" s="6"/>
      <c r="O916" s="6" t="str">
        <f t="shared" si="22"/>
        <v>Diana</v>
      </c>
    </row>
    <row r="917" spans="1:15" x14ac:dyDescent="0.3">
      <c r="A917" s="10">
        <v>916</v>
      </c>
      <c r="B917" s="18">
        <v>45842</v>
      </c>
      <c r="C917" s="6" t="s">
        <v>935</v>
      </c>
      <c r="D917" s="6" t="s">
        <v>3</v>
      </c>
      <c r="E917" s="6" t="s">
        <v>14</v>
      </c>
      <c r="F917" s="6">
        <v>31</v>
      </c>
      <c r="G917" s="6" t="s">
        <v>20</v>
      </c>
      <c r="H917" s="6">
        <v>2</v>
      </c>
      <c r="I917" s="6">
        <v>352</v>
      </c>
      <c r="J917" s="11">
        <v>704</v>
      </c>
      <c r="M917" s="6" t="str" cm="1">
        <f t="array" ref="M917">_xlfn.IFS(J917&lt;=500,"Low",J917&gt;=1500,"Mid",J917&lt;=1500,"High",TRUE,"no")</f>
        <v>High</v>
      </c>
      <c r="N917" s="6"/>
      <c r="O917" s="6" t="str">
        <f t="shared" si="22"/>
        <v>Bob</v>
      </c>
    </row>
    <row r="918" spans="1:15" x14ac:dyDescent="0.3">
      <c r="A918" s="10">
        <v>917</v>
      </c>
      <c r="B918" s="18">
        <v>45843</v>
      </c>
      <c r="C918" s="6" t="s">
        <v>936</v>
      </c>
      <c r="D918" s="6" t="s">
        <v>2</v>
      </c>
      <c r="E918" s="6" t="s">
        <v>19</v>
      </c>
      <c r="F918" s="6">
        <v>23</v>
      </c>
      <c r="G918" s="6" t="s">
        <v>20</v>
      </c>
      <c r="H918" s="6">
        <v>1</v>
      </c>
      <c r="I918" s="6">
        <v>71</v>
      </c>
      <c r="J918" s="11">
        <v>71</v>
      </c>
      <c r="M918" s="6" t="str" cm="1">
        <f t="array" ref="M918">_xlfn.IFS(J918&lt;=500,"Low",J918&gt;=1500,"Mid",J918&lt;=1500,"High",TRUE,"no")</f>
        <v>Low</v>
      </c>
      <c r="N918" s="6"/>
      <c r="O918" s="6" t="str">
        <f t="shared" si="22"/>
        <v>Diana</v>
      </c>
    </row>
    <row r="919" spans="1:15" x14ac:dyDescent="0.3">
      <c r="A919" s="10">
        <v>918</v>
      </c>
      <c r="B919" s="18">
        <v>45844</v>
      </c>
      <c r="C919" s="6" t="s">
        <v>937</v>
      </c>
      <c r="D919" s="6" t="s">
        <v>2</v>
      </c>
      <c r="E919" s="6" t="s">
        <v>19</v>
      </c>
      <c r="F919" s="6">
        <v>37</v>
      </c>
      <c r="G919" s="6" t="s">
        <v>17</v>
      </c>
      <c r="H919" s="6">
        <v>2</v>
      </c>
      <c r="I919" s="6">
        <v>217</v>
      </c>
      <c r="J919" s="11">
        <v>434</v>
      </c>
      <c r="M919" s="6" t="str" cm="1">
        <f t="array" ref="M919">_xlfn.IFS(J919&lt;=500,"Low",J919&gt;=1500,"Mid",J919&lt;=1500,"High",TRUE,"no")</f>
        <v>Low</v>
      </c>
      <c r="N919" s="6"/>
      <c r="O919" s="6" t="str">
        <f t="shared" si="22"/>
        <v>Diana</v>
      </c>
    </row>
    <row r="920" spans="1:15" x14ac:dyDescent="0.3">
      <c r="A920" s="10">
        <v>919</v>
      </c>
      <c r="B920" s="18">
        <v>45845</v>
      </c>
      <c r="C920" s="6" t="s">
        <v>938</v>
      </c>
      <c r="D920" s="6" t="s">
        <v>1</v>
      </c>
      <c r="E920" s="6" t="s">
        <v>19</v>
      </c>
      <c r="F920" s="6">
        <v>59</v>
      </c>
      <c r="G920" s="6" t="s">
        <v>17</v>
      </c>
      <c r="H920" s="6">
        <v>3</v>
      </c>
      <c r="I920" s="6">
        <v>464</v>
      </c>
      <c r="J920" s="11">
        <v>1392</v>
      </c>
      <c r="M920" s="6" t="str" cm="1">
        <f t="array" ref="M920">_xlfn.IFS(J920&lt;=500,"Low",J920&gt;=1500,"Mid",J920&lt;=1500,"High",TRUE,"no")</f>
        <v>High</v>
      </c>
      <c r="N920" s="6"/>
      <c r="O920" s="6" t="str">
        <f t="shared" si="22"/>
        <v>Charlie</v>
      </c>
    </row>
    <row r="921" spans="1:15" x14ac:dyDescent="0.3">
      <c r="A921" s="10">
        <v>920</v>
      </c>
      <c r="B921" s="18">
        <v>45846</v>
      </c>
      <c r="C921" s="6" t="s">
        <v>939</v>
      </c>
      <c r="D921" s="6" t="s">
        <v>1</v>
      </c>
      <c r="E921" s="6" t="s">
        <v>19</v>
      </c>
      <c r="F921" s="6">
        <v>35</v>
      </c>
      <c r="G921" s="6" t="s">
        <v>23</v>
      </c>
      <c r="H921" s="6">
        <v>4</v>
      </c>
      <c r="I921" s="6">
        <v>387</v>
      </c>
      <c r="J921" s="11">
        <v>1548</v>
      </c>
      <c r="M921" s="6" t="str" cm="1">
        <f t="array" ref="M921">_xlfn.IFS(J921&lt;=500,"Low",J921&gt;=1500,"Mid",J921&lt;=1500,"High",TRUE,"no")</f>
        <v>Mid</v>
      </c>
      <c r="N921" s="6"/>
      <c r="O921" s="6" t="str">
        <f t="shared" si="22"/>
        <v>Charlie</v>
      </c>
    </row>
    <row r="922" spans="1:15" x14ac:dyDescent="0.3">
      <c r="A922" s="10">
        <v>921</v>
      </c>
      <c r="B922" s="18">
        <v>45847</v>
      </c>
      <c r="C922" s="6" t="s">
        <v>940</v>
      </c>
      <c r="D922" s="6" t="s">
        <v>1</v>
      </c>
      <c r="E922" s="6" t="s">
        <v>19</v>
      </c>
      <c r="F922" s="6">
        <v>27</v>
      </c>
      <c r="G922" s="6" t="s">
        <v>17</v>
      </c>
      <c r="H922" s="6">
        <v>5</v>
      </c>
      <c r="I922" s="6">
        <v>46</v>
      </c>
      <c r="J922" s="11">
        <v>230</v>
      </c>
      <c r="M922" s="6" t="str" cm="1">
        <f t="array" ref="M922">_xlfn.IFS(J922&lt;=500,"Low",J922&gt;=1500,"Mid",J922&lt;=1500,"High",TRUE,"no")</f>
        <v>Low</v>
      </c>
      <c r="N922" s="6"/>
      <c r="O922" s="6" t="str">
        <f t="shared" si="22"/>
        <v>Charlie</v>
      </c>
    </row>
    <row r="923" spans="1:15" x14ac:dyDescent="0.3">
      <c r="A923" s="10">
        <v>922</v>
      </c>
      <c r="B923" s="18">
        <v>45848</v>
      </c>
      <c r="C923" s="6" t="s">
        <v>941</v>
      </c>
      <c r="D923" s="6" t="s">
        <v>2</v>
      </c>
      <c r="E923" s="6" t="s">
        <v>14</v>
      </c>
      <c r="F923" s="6">
        <v>29</v>
      </c>
      <c r="G923" s="6" t="s">
        <v>23</v>
      </c>
      <c r="H923" s="6">
        <v>3</v>
      </c>
      <c r="I923" s="6">
        <v>35</v>
      </c>
      <c r="J923" s="11">
        <v>105</v>
      </c>
      <c r="M923" s="6" t="str" cm="1">
        <f t="array" ref="M923">_xlfn.IFS(J923&lt;=500,"Low",J923&gt;=1500,"Mid",J923&lt;=1500,"High",TRUE,"no")</f>
        <v>Low</v>
      </c>
      <c r="N923" s="6"/>
      <c r="O923" s="6" t="str">
        <f t="shared" si="22"/>
        <v>Diana</v>
      </c>
    </row>
    <row r="924" spans="1:15" x14ac:dyDescent="0.3">
      <c r="A924" s="10">
        <v>923</v>
      </c>
      <c r="B924" s="18">
        <v>45849</v>
      </c>
      <c r="C924" s="6" t="s">
        <v>942</v>
      </c>
      <c r="D924" s="6" t="s">
        <v>4</v>
      </c>
      <c r="E924" s="6" t="s">
        <v>19</v>
      </c>
      <c r="F924" s="6">
        <v>21</v>
      </c>
      <c r="G924" s="6" t="s">
        <v>20</v>
      </c>
      <c r="H924" s="6">
        <v>2</v>
      </c>
      <c r="I924" s="6">
        <v>498</v>
      </c>
      <c r="J924" s="11">
        <v>996</v>
      </c>
      <c r="M924" s="6" t="str" cm="1">
        <f t="array" ref="M924">_xlfn.IFS(J924&lt;=500,"Low",J924&gt;=1500,"Mid",J924&lt;=1500,"High",TRUE,"no")</f>
        <v>High</v>
      </c>
      <c r="N924" s="6"/>
      <c r="O924" s="6" t="str">
        <f t="shared" si="22"/>
        <v>Alice</v>
      </c>
    </row>
    <row r="925" spans="1:15" x14ac:dyDescent="0.3">
      <c r="A925" s="10">
        <v>924</v>
      </c>
      <c r="B925" s="18">
        <v>45850</v>
      </c>
      <c r="C925" s="6" t="s">
        <v>943</v>
      </c>
      <c r="D925" s="6" t="s">
        <v>4</v>
      </c>
      <c r="E925" s="6" t="s">
        <v>14</v>
      </c>
      <c r="F925" s="6">
        <v>27</v>
      </c>
      <c r="G925" s="6" t="s">
        <v>27</v>
      </c>
      <c r="H925" s="6">
        <v>2</v>
      </c>
      <c r="I925" s="6">
        <v>442</v>
      </c>
      <c r="J925" s="11">
        <v>884</v>
      </c>
      <c r="M925" s="6" t="str" cm="1">
        <f t="array" ref="M925">_xlfn.IFS(J925&lt;=500,"Low",J925&gt;=1500,"Mid",J925&lt;=1500,"High",TRUE,"no")</f>
        <v>High</v>
      </c>
      <c r="N925" s="6"/>
      <c r="O925" s="6" t="str">
        <f t="shared" si="22"/>
        <v>Alice</v>
      </c>
    </row>
    <row r="926" spans="1:15" x14ac:dyDescent="0.3">
      <c r="A926" s="10">
        <v>925</v>
      </c>
      <c r="B926" s="18">
        <v>45851</v>
      </c>
      <c r="C926" s="6" t="s">
        <v>944</v>
      </c>
      <c r="D926" s="6" t="s">
        <v>2</v>
      </c>
      <c r="E926" s="6" t="s">
        <v>14</v>
      </c>
      <c r="F926" s="6">
        <v>31</v>
      </c>
      <c r="G926" s="6" t="s">
        <v>23</v>
      </c>
      <c r="H926" s="6">
        <v>4</v>
      </c>
      <c r="I926" s="6">
        <v>67</v>
      </c>
      <c r="J926" s="11">
        <v>268</v>
      </c>
      <c r="M926" s="6" t="str" cm="1">
        <f t="array" ref="M926">_xlfn.IFS(J926&lt;=500,"Low",J926&gt;=1500,"Mid",J926&lt;=1500,"High",TRUE,"no")</f>
        <v>Low</v>
      </c>
      <c r="N926" s="6"/>
      <c r="O926" s="6" t="str">
        <f t="shared" si="22"/>
        <v>Diana</v>
      </c>
    </row>
    <row r="927" spans="1:15" x14ac:dyDescent="0.3">
      <c r="A927" s="10">
        <v>926</v>
      </c>
      <c r="B927" s="18">
        <v>45852</v>
      </c>
      <c r="C927" s="6" t="s">
        <v>945</v>
      </c>
      <c r="D927" s="6" t="s">
        <v>2</v>
      </c>
      <c r="E927" s="6" t="s">
        <v>19</v>
      </c>
      <c r="F927" s="6">
        <v>28</v>
      </c>
      <c r="G927" s="6" t="s">
        <v>17</v>
      </c>
      <c r="H927" s="6">
        <v>3</v>
      </c>
      <c r="I927" s="6">
        <v>472</v>
      </c>
      <c r="J927" s="11">
        <v>1416</v>
      </c>
      <c r="M927" s="6" t="str" cm="1">
        <f t="array" ref="M927">_xlfn.IFS(J927&lt;=500,"Low",J927&gt;=1500,"Mid",J927&lt;=1500,"High",TRUE,"no")</f>
        <v>High</v>
      </c>
      <c r="N927" s="6"/>
      <c r="O927" s="6" t="str">
        <f t="shared" si="22"/>
        <v>Diana</v>
      </c>
    </row>
    <row r="928" spans="1:15" x14ac:dyDescent="0.3">
      <c r="A928" s="10">
        <v>927</v>
      </c>
      <c r="B928" s="18">
        <v>45853</v>
      </c>
      <c r="C928" s="6" t="s">
        <v>946</v>
      </c>
      <c r="D928" s="6" t="s">
        <v>3</v>
      </c>
      <c r="E928" s="6" t="s">
        <v>19</v>
      </c>
      <c r="F928" s="6">
        <v>28</v>
      </c>
      <c r="G928" s="6" t="s">
        <v>15</v>
      </c>
      <c r="H928" s="6">
        <v>3</v>
      </c>
      <c r="I928" s="6">
        <v>86</v>
      </c>
      <c r="J928" s="11">
        <v>258</v>
      </c>
      <c r="M928" s="6" t="str" cm="1">
        <f t="array" ref="M928">_xlfn.IFS(J928&lt;=500,"Low",J928&gt;=1500,"Mid",J928&lt;=1500,"High",TRUE,"no")</f>
        <v>Low</v>
      </c>
      <c r="N928" s="6"/>
      <c r="O928" s="6" t="str">
        <f t="shared" si="22"/>
        <v>Bob</v>
      </c>
    </row>
    <row r="929" spans="1:15" x14ac:dyDescent="0.3">
      <c r="A929" s="10">
        <v>928</v>
      </c>
      <c r="B929" s="18">
        <v>45854</v>
      </c>
      <c r="C929" s="6" t="s">
        <v>947</v>
      </c>
      <c r="D929" s="6" t="s">
        <v>1</v>
      </c>
      <c r="E929" s="6" t="s">
        <v>19</v>
      </c>
      <c r="F929" s="6">
        <v>57</v>
      </c>
      <c r="G929" s="6" t="s">
        <v>27</v>
      </c>
      <c r="H929" s="6">
        <v>4</v>
      </c>
      <c r="I929" s="6">
        <v>419</v>
      </c>
      <c r="J929" s="11">
        <v>1676</v>
      </c>
      <c r="M929" s="6" t="str" cm="1">
        <f t="array" ref="M929">_xlfn.IFS(J929&lt;=500,"Low",J929&gt;=1500,"Mid",J929&lt;=1500,"High",TRUE,"no")</f>
        <v>Mid</v>
      </c>
      <c r="N929" s="6"/>
      <c r="O929" s="6" t="str">
        <f t="shared" si="22"/>
        <v>Charlie</v>
      </c>
    </row>
    <row r="930" spans="1:15" x14ac:dyDescent="0.3">
      <c r="A930" s="10">
        <v>929</v>
      </c>
      <c r="B930" s="18">
        <v>45855</v>
      </c>
      <c r="C930" s="6" t="s">
        <v>948</v>
      </c>
      <c r="D930" s="6" t="s">
        <v>1</v>
      </c>
      <c r="E930" s="6" t="s">
        <v>19</v>
      </c>
      <c r="F930" s="6">
        <v>56</v>
      </c>
      <c r="G930" s="6" t="s">
        <v>23</v>
      </c>
      <c r="H930" s="6">
        <v>4</v>
      </c>
      <c r="I930" s="6">
        <v>259</v>
      </c>
      <c r="J930" s="11">
        <v>1036</v>
      </c>
      <c r="M930" s="6" t="str" cm="1">
        <f t="array" ref="M930">_xlfn.IFS(J930&lt;=500,"Low",J930&gt;=1500,"Mid",J930&lt;=1500,"High",TRUE,"no")</f>
        <v>High</v>
      </c>
      <c r="N930" s="6"/>
      <c r="O930" s="6" t="str">
        <f t="shared" si="22"/>
        <v>Charlie</v>
      </c>
    </row>
    <row r="931" spans="1:15" x14ac:dyDescent="0.3">
      <c r="A931" s="10">
        <v>930</v>
      </c>
      <c r="B931" s="18">
        <v>45856</v>
      </c>
      <c r="C931" s="6" t="s">
        <v>949</v>
      </c>
      <c r="D931" s="6" t="s">
        <v>2</v>
      </c>
      <c r="E931" s="6" t="s">
        <v>14</v>
      </c>
      <c r="F931" s="6">
        <v>39</v>
      </c>
      <c r="G931" s="6" t="s">
        <v>20</v>
      </c>
      <c r="H931" s="6">
        <v>3</v>
      </c>
      <c r="I931" s="6">
        <v>22</v>
      </c>
      <c r="J931" s="11">
        <v>66</v>
      </c>
      <c r="M931" s="6" t="str" cm="1">
        <f t="array" ref="M931">_xlfn.IFS(J931&lt;=500,"Low",J931&gt;=1500,"Mid",J931&lt;=1500,"High",TRUE,"no")</f>
        <v>Low</v>
      </c>
      <c r="N931" s="6"/>
      <c r="O931" s="6" t="str">
        <f t="shared" si="22"/>
        <v>Diana</v>
      </c>
    </row>
    <row r="932" spans="1:15" x14ac:dyDescent="0.3">
      <c r="A932" s="10">
        <v>931</v>
      </c>
      <c r="B932" s="18">
        <v>45857</v>
      </c>
      <c r="C932" s="6" t="s">
        <v>950</v>
      </c>
      <c r="D932" s="6" t="s">
        <v>2</v>
      </c>
      <c r="E932" s="6" t="s">
        <v>14</v>
      </c>
      <c r="F932" s="6">
        <v>52</v>
      </c>
      <c r="G932" s="6" t="s">
        <v>17</v>
      </c>
      <c r="H932" s="6">
        <v>5</v>
      </c>
      <c r="I932" s="6">
        <v>351</v>
      </c>
      <c r="J932" s="11">
        <v>1755</v>
      </c>
      <c r="M932" s="6" t="str" cm="1">
        <f t="array" ref="M932">_xlfn.IFS(J932&lt;=500,"Low",J932&gt;=1500,"Mid",J932&lt;=1500,"High",TRUE,"no")</f>
        <v>Mid</v>
      </c>
      <c r="N932" s="6"/>
      <c r="O932" s="6" t="str">
        <f t="shared" si="22"/>
        <v>Diana</v>
      </c>
    </row>
    <row r="933" spans="1:15" x14ac:dyDescent="0.3">
      <c r="A933" s="10">
        <v>932</v>
      </c>
      <c r="B933" s="18">
        <v>45858</v>
      </c>
      <c r="C933" s="6" t="s">
        <v>951</v>
      </c>
      <c r="D933" s="6" t="s">
        <v>4</v>
      </c>
      <c r="E933" s="6" t="s">
        <v>19</v>
      </c>
      <c r="F933" s="6">
        <v>20</v>
      </c>
      <c r="G933" s="6" t="s">
        <v>20</v>
      </c>
      <c r="H933" s="6">
        <v>5</v>
      </c>
      <c r="I933" s="6">
        <v>26</v>
      </c>
      <c r="J933" s="11">
        <v>130</v>
      </c>
      <c r="M933" s="6" t="str" cm="1">
        <f t="array" ref="M933">_xlfn.IFS(J933&lt;=500,"Low",J933&gt;=1500,"Mid",J933&lt;=1500,"High",TRUE,"no")</f>
        <v>Low</v>
      </c>
      <c r="N933" s="6"/>
      <c r="O933" s="6" t="str">
        <f t="shared" si="22"/>
        <v>Alice</v>
      </c>
    </row>
    <row r="934" spans="1:15" x14ac:dyDescent="0.3">
      <c r="A934" s="10">
        <v>933</v>
      </c>
      <c r="B934" s="18">
        <v>45859</v>
      </c>
      <c r="C934" s="6" t="s">
        <v>952</v>
      </c>
      <c r="D934" s="6" t="s">
        <v>2</v>
      </c>
      <c r="E934" s="6" t="s">
        <v>19</v>
      </c>
      <c r="F934" s="6">
        <v>26</v>
      </c>
      <c r="G934" s="6" t="s">
        <v>17</v>
      </c>
      <c r="H934" s="6">
        <v>5</v>
      </c>
      <c r="I934" s="6">
        <v>389</v>
      </c>
      <c r="J934" s="11">
        <v>1945</v>
      </c>
      <c r="M934" s="6" t="str" cm="1">
        <f t="array" ref="M934">_xlfn.IFS(J934&lt;=500,"Low",J934&gt;=1500,"Mid",J934&lt;=1500,"High",TRUE,"no")</f>
        <v>Mid</v>
      </c>
      <c r="N934" s="6"/>
      <c r="O934" s="6" t="str">
        <f t="shared" si="22"/>
        <v>Diana</v>
      </c>
    </row>
    <row r="935" spans="1:15" x14ac:dyDescent="0.3">
      <c r="A935" s="10">
        <v>934</v>
      </c>
      <c r="B935" s="18">
        <v>45860</v>
      </c>
      <c r="C935" s="6" t="s">
        <v>953</v>
      </c>
      <c r="D935" s="6" t="s">
        <v>4</v>
      </c>
      <c r="E935" s="6" t="s">
        <v>19</v>
      </c>
      <c r="F935" s="6">
        <v>26</v>
      </c>
      <c r="G935" s="6" t="s">
        <v>17</v>
      </c>
      <c r="H935" s="6">
        <v>3</v>
      </c>
      <c r="I935" s="6">
        <v>99</v>
      </c>
      <c r="J935" s="11">
        <v>297</v>
      </c>
      <c r="M935" s="6" t="str" cm="1">
        <f t="array" ref="M935">_xlfn.IFS(J935&lt;=500,"Low",J935&gt;=1500,"Mid",J935&lt;=1500,"High",TRUE,"no")</f>
        <v>Low</v>
      </c>
      <c r="N935" s="6"/>
      <c r="O935" s="6" t="str">
        <f t="shared" si="22"/>
        <v>Alice</v>
      </c>
    </row>
    <row r="936" spans="1:15" x14ac:dyDescent="0.3">
      <c r="A936" s="10">
        <v>935</v>
      </c>
      <c r="B936" s="18">
        <v>45861</v>
      </c>
      <c r="C936" s="6" t="s">
        <v>954</v>
      </c>
      <c r="D936" s="6" t="s">
        <v>2</v>
      </c>
      <c r="E936" s="6" t="s">
        <v>19</v>
      </c>
      <c r="F936" s="6">
        <v>54</v>
      </c>
      <c r="G936" s="6" t="s">
        <v>23</v>
      </c>
      <c r="H936" s="6">
        <v>3</v>
      </c>
      <c r="I936" s="6">
        <v>338</v>
      </c>
      <c r="J936" s="11">
        <v>1014</v>
      </c>
      <c r="M936" s="6" t="str" cm="1">
        <f t="array" ref="M936">_xlfn.IFS(J936&lt;=500,"Low",J936&gt;=1500,"Mid",J936&lt;=1500,"High",TRUE,"no")</f>
        <v>High</v>
      </c>
      <c r="N936" s="6"/>
      <c r="O936" s="6" t="str">
        <f t="shared" si="22"/>
        <v>Diana</v>
      </c>
    </row>
    <row r="937" spans="1:15" x14ac:dyDescent="0.3">
      <c r="A937" s="10">
        <v>936</v>
      </c>
      <c r="B937" s="18">
        <v>45862</v>
      </c>
      <c r="C937" s="6" t="s">
        <v>955</v>
      </c>
      <c r="D937" s="6" t="s">
        <v>3</v>
      </c>
      <c r="E937" s="6" t="s">
        <v>14</v>
      </c>
      <c r="F937" s="6">
        <v>28</v>
      </c>
      <c r="G937" s="6" t="s">
        <v>23</v>
      </c>
      <c r="H937" s="6">
        <v>5</v>
      </c>
      <c r="I937" s="6">
        <v>464</v>
      </c>
      <c r="J937" s="11">
        <v>2320</v>
      </c>
      <c r="M937" s="6" t="str" cm="1">
        <f t="array" ref="M937">_xlfn.IFS(J937&lt;=500,"Low",J937&gt;=1500,"Mid",J937&lt;=1500,"High",TRUE,"no")</f>
        <v>Mid</v>
      </c>
      <c r="N937" s="6"/>
      <c r="O937" s="6" t="str">
        <f t="shared" si="22"/>
        <v>Bob</v>
      </c>
    </row>
    <row r="938" spans="1:15" x14ac:dyDescent="0.3">
      <c r="A938" s="10">
        <v>937</v>
      </c>
      <c r="B938" s="18">
        <v>45863</v>
      </c>
      <c r="C938" s="6" t="s">
        <v>956</v>
      </c>
      <c r="D938" s="6" t="s">
        <v>3</v>
      </c>
      <c r="E938" s="6" t="s">
        <v>14</v>
      </c>
      <c r="F938" s="6">
        <v>18</v>
      </c>
      <c r="G938" s="6" t="s">
        <v>15</v>
      </c>
      <c r="H938" s="6">
        <v>5</v>
      </c>
      <c r="I938" s="6">
        <v>471</v>
      </c>
      <c r="J938" s="11">
        <v>2355</v>
      </c>
      <c r="M938" s="6" t="str" cm="1">
        <f t="array" ref="M938">_xlfn.IFS(J938&lt;=500,"Low",J938&gt;=1500,"Mid",J938&lt;=1500,"High",TRUE,"no")</f>
        <v>Mid</v>
      </c>
      <c r="N938" s="6"/>
      <c r="O938" s="6" t="str">
        <f t="shared" si="22"/>
        <v>Bob</v>
      </c>
    </row>
    <row r="939" spans="1:15" x14ac:dyDescent="0.3">
      <c r="A939" s="10">
        <v>938</v>
      </c>
      <c r="B939" s="18">
        <v>45864</v>
      </c>
      <c r="C939" s="6" t="s">
        <v>957</v>
      </c>
      <c r="D939" s="6" t="s">
        <v>4</v>
      </c>
      <c r="E939" s="6" t="s">
        <v>19</v>
      </c>
      <c r="F939" s="6">
        <v>42</v>
      </c>
      <c r="G939" s="6" t="s">
        <v>17</v>
      </c>
      <c r="H939" s="6">
        <v>1</v>
      </c>
      <c r="I939" s="6">
        <v>165</v>
      </c>
      <c r="J939" s="11">
        <v>165</v>
      </c>
      <c r="M939" s="6" t="str" cm="1">
        <f t="array" ref="M939">_xlfn.IFS(J939&lt;=500,"Low",J939&gt;=1500,"Mid",J939&lt;=1500,"High",TRUE,"no")</f>
        <v>Low</v>
      </c>
      <c r="N939" s="6"/>
      <c r="O939" s="6" t="str">
        <f t="shared" si="22"/>
        <v>Alice</v>
      </c>
    </row>
    <row r="940" spans="1:15" x14ac:dyDescent="0.3">
      <c r="A940" s="10">
        <v>939</v>
      </c>
      <c r="B940" s="18">
        <v>45865</v>
      </c>
      <c r="C940" s="6" t="s">
        <v>958</v>
      </c>
      <c r="D940" s="6" t="s">
        <v>1</v>
      </c>
      <c r="E940" s="6" t="s">
        <v>14</v>
      </c>
      <c r="F940" s="6">
        <v>49</v>
      </c>
      <c r="G940" s="6" t="s">
        <v>17</v>
      </c>
      <c r="H940" s="6">
        <v>2</v>
      </c>
      <c r="I940" s="6">
        <v>196</v>
      </c>
      <c r="J940" s="11">
        <v>392</v>
      </c>
      <c r="M940" s="6" t="str" cm="1">
        <f t="array" ref="M940">_xlfn.IFS(J940&lt;=500,"Low",J940&gt;=1500,"Mid",J940&lt;=1500,"High",TRUE,"no")</f>
        <v>Low</v>
      </c>
      <c r="N940" s="6"/>
      <c r="O940" s="6" t="str">
        <f t="shared" si="22"/>
        <v>Charlie</v>
      </c>
    </row>
    <row r="941" spans="1:15" x14ac:dyDescent="0.3">
      <c r="A941" s="10">
        <v>940</v>
      </c>
      <c r="B941" s="18">
        <v>45866</v>
      </c>
      <c r="C941" s="6" t="s">
        <v>959</v>
      </c>
      <c r="D941" s="6" t="s">
        <v>3</v>
      </c>
      <c r="E941" s="6" t="s">
        <v>14</v>
      </c>
      <c r="F941" s="6">
        <v>25</v>
      </c>
      <c r="G941" s="6" t="s">
        <v>15</v>
      </c>
      <c r="H941" s="6">
        <v>1</v>
      </c>
      <c r="I941" s="6">
        <v>306</v>
      </c>
      <c r="J941" s="11">
        <v>306</v>
      </c>
      <c r="M941" s="6" t="str" cm="1">
        <f t="array" ref="M941">_xlfn.IFS(J941&lt;=500,"Low",J941&gt;=1500,"Mid",J941&lt;=1500,"High",TRUE,"no")</f>
        <v>Low</v>
      </c>
      <c r="N941" s="6"/>
      <c r="O941" s="6" t="str">
        <f t="shared" si="22"/>
        <v>Bob</v>
      </c>
    </row>
    <row r="942" spans="1:15" x14ac:dyDescent="0.3">
      <c r="A942" s="10">
        <v>941</v>
      </c>
      <c r="B942" s="18">
        <v>45867</v>
      </c>
      <c r="C942" s="6" t="s">
        <v>960</v>
      </c>
      <c r="D942" s="6" t="s">
        <v>4</v>
      </c>
      <c r="E942" s="6" t="s">
        <v>14</v>
      </c>
      <c r="F942" s="6">
        <v>19</v>
      </c>
      <c r="G942" s="6" t="s">
        <v>17</v>
      </c>
      <c r="H942" s="6">
        <v>4</v>
      </c>
      <c r="I942" s="6">
        <v>395</v>
      </c>
      <c r="J942" s="11">
        <v>1580</v>
      </c>
      <c r="M942" s="6" t="str" cm="1">
        <f t="array" ref="M942">_xlfn.IFS(J942&lt;=500,"Low",J942&gt;=1500,"Mid",J942&lt;=1500,"High",TRUE,"no")</f>
        <v>Mid</v>
      </c>
      <c r="N942" s="6"/>
      <c r="O942" s="6" t="str">
        <f t="shared" si="22"/>
        <v>Alice</v>
      </c>
    </row>
    <row r="943" spans="1:15" x14ac:dyDescent="0.3">
      <c r="A943" s="10">
        <v>942</v>
      </c>
      <c r="B943" s="18">
        <v>45868</v>
      </c>
      <c r="C943" s="6" t="s">
        <v>961</v>
      </c>
      <c r="D943" s="6" t="s">
        <v>2</v>
      </c>
      <c r="E943" s="6" t="s">
        <v>19</v>
      </c>
      <c r="F943" s="6">
        <v>33</v>
      </c>
      <c r="G943" s="6" t="s">
        <v>17</v>
      </c>
      <c r="H943" s="6">
        <v>1</v>
      </c>
      <c r="I943" s="6">
        <v>184</v>
      </c>
      <c r="J943" s="11">
        <v>184</v>
      </c>
      <c r="M943" s="6" t="str" cm="1">
        <f t="array" ref="M943">_xlfn.IFS(J943&lt;=500,"Low",J943&gt;=1500,"Mid",J943&lt;=1500,"High",TRUE,"no")</f>
        <v>Low</v>
      </c>
      <c r="N943" s="6"/>
      <c r="O943" s="6" t="str">
        <f t="shared" si="22"/>
        <v>Diana</v>
      </c>
    </row>
    <row r="944" spans="1:15" x14ac:dyDescent="0.3">
      <c r="A944" s="10">
        <v>943</v>
      </c>
      <c r="B944" s="18">
        <v>45869</v>
      </c>
      <c r="C944" s="6" t="s">
        <v>962</v>
      </c>
      <c r="D944" s="6" t="s">
        <v>2</v>
      </c>
      <c r="E944" s="6" t="s">
        <v>19</v>
      </c>
      <c r="F944" s="6">
        <v>54</v>
      </c>
      <c r="G944" s="6" t="s">
        <v>15</v>
      </c>
      <c r="H944" s="6">
        <v>1</v>
      </c>
      <c r="I944" s="6">
        <v>79</v>
      </c>
      <c r="J944" s="11">
        <v>79</v>
      </c>
      <c r="M944" s="6" t="str" cm="1">
        <f t="array" ref="M944">_xlfn.IFS(J944&lt;=500,"Low",J944&gt;=1500,"Mid",J944&lt;=1500,"High",TRUE,"no")</f>
        <v>Low</v>
      </c>
      <c r="N944" s="6"/>
      <c r="O944" s="6" t="str">
        <f t="shared" si="22"/>
        <v>Diana</v>
      </c>
    </row>
    <row r="945" spans="1:15" x14ac:dyDescent="0.3">
      <c r="A945" s="10">
        <v>944</v>
      </c>
      <c r="B945" s="18">
        <v>45870</v>
      </c>
      <c r="C945" s="6" t="s">
        <v>963</v>
      </c>
      <c r="D945" s="6" t="s">
        <v>4</v>
      </c>
      <c r="E945" s="6" t="s">
        <v>14</v>
      </c>
      <c r="F945" s="6">
        <v>27</v>
      </c>
      <c r="G945" s="6" t="s">
        <v>15</v>
      </c>
      <c r="H945" s="6">
        <v>2</v>
      </c>
      <c r="I945" s="6">
        <v>185</v>
      </c>
      <c r="J945" s="11">
        <v>370</v>
      </c>
      <c r="M945" s="6" t="str" cm="1">
        <f t="array" ref="M945">_xlfn.IFS(J945&lt;=500,"Low",J945&gt;=1500,"Mid",J945&lt;=1500,"High",TRUE,"no")</f>
        <v>Low</v>
      </c>
      <c r="N945" s="6"/>
      <c r="O945" s="6" t="str">
        <f t="shared" si="22"/>
        <v>Alice</v>
      </c>
    </row>
    <row r="946" spans="1:15" x14ac:dyDescent="0.3">
      <c r="A946" s="10">
        <v>945</v>
      </c>
      <c r="B946" s="18">
        <v>45871</v>
      </c>
      <c r="C946" s="6" t="s">
        <v>964</v>
      </c>
      <c r="D946" s="6" t="s">
        <v>1</v>
      </c>
      <c r="E946" s="6" t="s">
        <v>14</v>
      </c>
      <c r="F946" s="6">
        <v>47</v>
      </c>
      <c r="G946" s="6" t="s">
        <v>15</v>
      </c>
      <c r="H946" s="6">
        <v>1</v>
      </c>
      <c r="I946" s="6">
        <v>90</v>
      </c>
      <c r="J946" s="11">
        <v>90</v>
      </c>
      <c r="M946" s="6" t="str" cm="1">
        <f t="array" ref="M946">_xlfn.IFS(J946&lt;=500,"Low",J946&gt;=1500,"Mid",J946&lt;=1500,"High",TRUE,"no")</f>
        <v>Low</v>
      </c>
      <c r="N946" s="6"/>
      <c r="O946" s="6" t="str">
        <f t="shared" si="22"/>
        <v>Charlie</v>
      </c>
    </row>
    <row r="947" spans="1:15" x14ac:dyDescent="0.3">
      <c r="A947" s="10">
        <v>946</v>
      </c>
      <c r="B947" s="18">
        <v>45872</v>
      </c>
      <c r="C947" s="6" t="s">
        <v>965</v>
      </c>
      <c r="D947" s="6" t="s">
        <v>4</v>
      </c>
      <c r="E947" s="6" t="s">
        <v>19</v>
      </c>
      <c r="F947" s="6">
        <v>54</v>
      </c>
      <c r="G947" s="6" t="s">
        <v>15</v>
      </c>
      <c r="H947" s="6">
        <v>3</v>
      </c>
      <c r="I947" s="6">
        <v>452</v>
      </c>
      <c r="J947" s="11">
        <v>1356</v>
      </c>
      <c r="M947" s="6" t="str" cm="1">
        <f t="array" ref="M947">_xlfn.IFS(J947&lt;=500,"Low",J947&gt;=1500,"Mid",J947&lt;=1500,"High",TRUE,"no")</f>
        <v>High</v>
      </c>
      <c r="N947" s="6"/>
      <c r="O947" s="6" t="str">
        <f t="shared" si="22"/>
        <v>Alice</v>
      </c>
    </row>
    <row r="948" spans="1:15" x14ac:dyDescent="0.3">
      <c r="A948" s="10">
        <v>947</v>
      </c>
      <c r="B948" s="18">
        <v>45873</v>
      </c>
      <c r="C948" s="6" t="s">
        <v>966</v>
      </c>
      <c r="D948" s="6" t="s">
        <v>4</v>
      </c>
      <c r="E948" s="6" t="s">
        <v>19</v>
      </c>
      <c r="F948" s="6">
        <v>35</v>
      </c>
      <c r="G948" s="6" t="s">
        <v>20</v>
      </c>
      <c r="H948" s="6">
        <v>3</v>
      </c>
      <c r="I948" s="6">
        <v>421</v>
      </c>
      <c r="J948" s="11">
        <v>1263</v>
      </c>
      <c r="M948" s="6" t="str" cm="1">
        <f t="array" ref="M948">_xlfn.IFS(J948&lt;=500,"Low",J948&gt;=1500,"Mid",J948&lt;=1500,"High",TRUE,"no")</f>
        <v>High</v>
      </c>
      <c r="N948" s="6"/>
      <c r="O948" s="6" t="str">
        <f t="shared" si="22"/>
        <v>Alice</v>
      </c>
    </row>
    <row r="949" spans="1:15" x14ac:dyDescent="0.3">
      <c r="A949" s="10">
        <v>948</v>
      </c>
      <c r="B949" s="18">
        <v>45874</v>
      </c>
      <c r="C949" s="6" t="s">
        <v>967</v>
      </c>
      <c r="D949" s="6" t="s">
        <v>3</v>
      </c>
      <c r="E949" s="6" t="s">
        <v>14</v>
      </c>
      <c r="F949" s="6">
        <v>28</v>
      </c>
      <c r="G949" s="6" t="s">
        <v>23</v>
      </c>
      <c r="H949" s="6">
        <v>5</v>
      </c>
      <c r="I949" s="6">
        <v>354</v>
      </c>
      <c r="J949" s="11">
        <v>1770</v>
      </c>
      <c r="M949" s="6" t="str" cm="1">
        <f t="array" ref="M949">_xlfn.IFS(J949&lt;=500,"Low",J949&gt;=1500,"Mid",J949&lt;=1500,"High",TRUE,"no")</f>
        <v>Mid</v>
      </c>
      <c r="N949" s="6"/>
      <c r="O949" s="6" t="str">
        <f t="shared" si="22"/>
        <v>Bob</v>
      </c>
    </row>
    <row r="950" spans="1:15" x14ac:dyDescent="0.3">
      <c r="A950" s="10">
        <v>949</v>
      </c>
      <c r="B950" s="18">
        <v>45875</v>
      </c>
      <c r="C950" s="6" t="s">
        <v>968</v>
      </c>
      <c r="D950" s="6" t="s">
        <v>4</v>
      </c>
      <c r="E950" s="6" t="s">
        <v>14</v>
      </c>
      <c r="F950" s="6">
        <v>30</v>
      </c>
      <c r="G950" s="6" t="s">
        <v>15</v>
      </c>
      <c r="H950" s="6">
        <v>5</v>
      </c>
      <c r="I950" s="6">
        <v>84</v>
      </c>
      <c r="J950" s="11">
        <v>420</v>
      </c>
      <c r="M950" s="6" t="str" cm="1">
        <f t="array" ref="M950">_xlfn.IFS(J950&lt;=500,"Low",J950&gt;=1500,"Mid",J950&lt;=1500,"High",TRUE,"no")</f>
        <v>Low</v>
      </c>
      <c r="N950" s="6"/>
      <c r="O950" s="6" t="str">
        <f t="shared" si="22"/>
        <v>Alice</v>
      </c>
    </row>
    <row r="951" spans="1:15" x14ac:dyDescent="0.3">
      <c r="A951" s="10">
        <v>950</v>
      </c>
      <c r="B951" s="18">
        <v>45876</v>
      </c>
      <c r="C951" s="6" t="s">
        <v>969</v>
      </c>
      <c r="D951" s="6" t="s">
        <v>4</v>
      </c>
      <c r="E951" s="6" t="s">
        <v>19</v>
      </c>
      <c r="F951" s="6">
        <v>53</v>
      </c>
      <c r="G951" s="6" t="s">
        <v>27</v>
      </c>
      <c r="H951" s="6">
        <v>3</v>
      </c>
      <c r="I951" s="6">
        <v>315</v>
      </c>
      <c r="J951" s="11">
        <v>945</v>
      </c>
      <c r="M951" s="6" t="str" cm="1">
        <f t="array" ref="M951">_xlfn.IFS(J951&lt;=500,"Low",J951&gt;=1500,"Mid",J951&lt;=1500,"High",TRUE,"no")</f>
        <v>High</v>
      </c>
      <c r="N951" s="6"/>
      <c r="O951" s="6" t="str">
        <f t="shared" si="22"/>
        <v>Alice</v>
      </c>
    </row>
    <row r="952" spans="1:15" x14ac:dyDescent="0.3">
      <c r="A952" s="10">
        <v>951</v>
      </c>
      <c r="B952" s="18">
        <v>45877</v>
      </c>
      <c r="C952" s="6" t="s">
        <v>970</v>
      </c>
      <c r="D952" s="6" t="s">
        <v>2</v>
      </c>
      <c r="E952" s="6" t="s">
        <v>14</v>
      </c>
      <c r="F952" s="6">
        <v>59</v>
      </c>
      <c r="G952" s="6" t="s">
        <v>17</v>
      </c>
      <c r="H952" s="6">
        <v>3</v>
      </c>
      <c r="I952" s="6">
        <v>296</v>
      </c>
      <c r="J952" s="11">
        <v>888</v>
      </c>
      <c r="M952" s="6" t="str" cm="1">
        <f t="array" ref="M952">_xlfn.IFS(J952&lt;=500,"Low",J952&gt;=1500,"Mid",J952&lt;=1500,"High",TRUE,"no")</f>
        <v>High</v>
      </c>
      <c r="N952" s="6"/>
      <c r="O952" s="6" t="str">
        <f t="shared" si="22"/>
        <v>Diana</v>
      </c>
    </row>
    <row r="953" spans="1:15" x14ac:dyDescent="0.3">
      <c r="A953" s="10">
        <v>952</v>
      </c>
      <c r="B953" s="18">
        <v>45878</v>
      </c>
      <c r="C953" s="6" t="s">
        <v>971</v>
      </c>
      <c r="D953" s="6" t="s">
        <v>3</v>
      </c>
      <c r="E953" s="6" t="s">
        <v>19</v>
      </c>
      <c r="F953" s="6">
        <v>18</v>
      </c>
      <c r="G953" s="6" t="s">
        <v>20</v>
      </c>
      <c r="H953" s="6">
        <v>4</v>
      </c>
      <c r="I953" s="6">
        <v>458</v>
      </c>
      <c r="J953" s="11">
        <v>1832</v>
      </c>
      <c r="M953" s="6" t="str" cm="1">
        <f t="array" ref="M953">_xlfn.IFS(J953&lt;=500,"Low",J953&gt;=1500,"Mid",J953&lt;=1500,"High",TRUE,"no")</f>
        <v>Mid</v>
      </c>
      <c r="N953" s="6"/>
      <c r="O953" s="6" t="str">
        <f t="shared" si="22"/>
        <v>Bob</v>
      </c>
    </row>
    <row r="954" spans="1:15" x14ac:dyDescent="0.3">
      <c r="A954" s="10">
        <v>953</v>
      </c>
      <c r="B954" s="18">
        <v>45879</v>
      </c>
      <c r="C954" s="6" t="s">
        <v>972</v>
      </c>
      <c r="D954" s="6" t="s">
        <v>2</v>
      </c>
      <c r="E954" s="6" t="s">
        <v>14</v>
      </c>
      <c r="F954" s="6">
        <v>45</v>
      </c>
      <c r="G954" s="6" t="s">
        <v>20</v>
      </c>
      <c r="H954" s="6">
        <v>3</v>
      </c>
      <c r="I954" s="6">
        <v>374</v>
      </c>
      <c r="J954" s="11">
        <v>1122</v>
      </c>
      <c r="M954" s="6" t="str" cm="1">
        <f t="array" ref="M954">_xlfn.IFS(J954&lt;=500,"Low",J954&gt;=1500,"Mid",J954&lt;=1500,"High",TRUE,"no")</f>
        <v>High</v>
      </c>
      <c r="N954" s="6"/>
      <c r="O954" s="6" t="str">
        <f t="shared" si="22"/>
        <v>Diana</v>
      </c>
    </row>
    <row r="955" spans="1:15" x14ac:dyDescent="0.3">
      <c r="A955" s="10">
        <v>954</v>
      </c>
      <c r="B955" s="18">
        <v>45880</v>
      </c>
      <c r="C955" s="6" t="s">
        <v>973</v>
      </c>
      <c r="D955" s="6" t="s">
        <v>2</v>
      </c>
      <c r="E955" s="6" t="s">
        <v>14</v>
      </c>
      <c r="F955" s="6">
        <v>45</v>
      </c>
      <c r="G955" s="6" t="s">
        <v>27</v>
      </c>
      <c r="H955" s="6">
        <v>2</v>
      </c>
      <c r="I955" s="6">
        <v>244</v>
      </c>
      <c r="J955" s="11">
        <v>488</v>
      </c>
      <c r="M955" s="6" t="str" cm="1">
        <f t="array" ref="M955">_xlfn.IFS(J955&lt;=500,"Low",J955&gt;=1500,"Mid",J955&lt;=1500,"High",TRUE,"no")</f>
        <v>Low</v>
      </c>
      <c r="N955" s="6"/>
      <c r="O955" s="6" t="str">
        <f t="shared" si="22"/>
        <v>Diana</v>
      </c>
    </row>
    <row r="956" spans="1:15" x14ac:dyDescent="0.3">
      <c r="A956" s="10">
        <v>955</v>
      </c>
      <c r="B956" s="18">
        <v>45881</v>
      </c>
      <c r="C956" s="6" t="s">
        <v>974</v>
      </c>
      <c r="D956" s="6" t="s">
        <v>1</v>
      </c>
      <c r="E956" s="6" t="s">
        <v>14</v>
      </c>
      <c r="F956" s="6">
        <v>54</v>
      </c>
      <c r="G956" s="6" t="s">
        <v>15</v>
      </c>
      <c r="H956" s="6">
        <v>5</v>
      </c>
      <c r="I956" s="6">
        <v>365</v>
      </c>
      <c r="J956" s="11">
        <v>1825</v>
      </c>
      <c r="M956" s="6" t="str" cm="1">
        <f t="array" ref="M956">_xlfn.IFS(J956&lt;=500,"Low",J956&gt;=1500,"Mid",J956&lt;=1500,"High",TRUE,"no")</f>
        <v>Mid</v>
      </c>
      <c r="N956" s="6"/>
      <c r="O956" s="6" t="str">
        <f t="shared" si="22"/>
        <v>Charlie</v>
      </c>
    </row>
    <row r="957" spans="1:15" x14ac:dyDescent="0.3">
      <c r="A957" s="10">
        <v>956</v>
      </c>
      <c r="B957" s="18">
        <v>45882</v>
      </c>
      <c r="C957" s="6" t="s">
        <v>975</v>
      </c>
      <c r="D957" s="6" t="s">
        <v>1</v>
      </c>
      <c r="E957" s="6" t="s">
        <v>19</v>
      </c>
      <c r="F957" s="6">
        <v>36</v>
      </c>
      <c r="G957" s="6" t="s">
        <v>20</v>
      </c>
      <c r="H957" s="6">
        <v>3</v>
      </c>
      <c r="I957" s="6">
        <v>209</v>
      </c>
      <c r="J957" s="11">
        <v>627</v>
      </c>
      <c r="M957" s="6" t="str" cm="1">
        <f t="array" ref="M957">_xlfn.IFS(J957&lt;=500,"Low",J957&gt;=1500,"Mid",J957&lt;=1500,"High",TRUE,"no")</f>
        <v>High</v>
      </c>
      <c r="N957" s="6"/>
      <c r="O957" s="6" t="str">
        <f t="shared" si="22"/>
        <v>Charlie</v>
      </c>
    </row>
    <row r="958" spans="1:15" x14ac:dyDescent="0.3">
      <c r="A958" s="10">
        <v>957</v>
      </c>
      <c r="B958" s="18">
        <v>45883</v>
      </c>
      <c r="C958" s="6" t="s">
        <v>976</v>
      </c>
      <c r="D958" s="6" t="s">
        <v>3</v>
      </c>
      <c r="E958" s="6" t="s">
        <v>19</v>
      </c>
      <c r="F958" s="6">
        <v>32</v>
      </c>
      <c r="G958" s="6" t="s">
        <v>20</v>
      </c>
      <c r="H958" s="6">
        <v>5</v>
      </c>
      <c r="I958" s="6">
        <v>278</v>
      </c>
      <c r="J958" s="11">
        <v>1390</v>
      </c>
      <c r="M958" s="6" t="str" cm="1">
        <f t="array" ref="M958">_xlfn.IFS(J958&lt;=500,"Low",J958&gt;=1500,"Mid",J958&lt;=1500,"High",TRUE,"no")</f>
        <v>High</v>
      </c>
      <c r="N958" s="6"/>
      <c r="O958" s="6" t="str">
        <f t="shared" si="22"/>
        <v>Bob</v>
      </c>
    </row>
    <row r="959" spans="1:15" x14ac:dyDescent="0.3">
      <c r="A959" s="10">
        <v>958</v>
      </c>
      <c r="B959" s="18">
        <v>45884</v>
      </c>
      <c r="C959" s="6" t="s">
        <v>977</v>
      </c>
      <c r="D959" s="6" t="s">
        <v>3</v>
      </c>
      <c r="E959" s="6" t="s">
        <v>19</v>
      </c>
      <c r="F959" s="6">
        <v>22</v>
      </c>
      <c r="G959" s="6" t="s">
        <v>27</v>
      </c>
      <c r="H959" s="6">
        <v>4</v>
      </c>
      <c r="I959" s="6">
        <v>486</v>
      </c>
      <c r="J959" s="11">
        <v>1944</v>
      </c>
      <c r="M959" s="6" t="str" cm="1">
        <f t="array" ref="M959">_xlfn.IFS(J959&lt;=500,"Low",J959&gt;=1500,"Mid",J959&lt;=1500,"High",TRUE,"no")</f>
        <v>Mid</v>
      </c>
      <c r="N959" s="6"/>
      <c r="O959" s="6" t="str">
        <f t="shared" si="22"/>
        <v>Bob</v>
      </c>
    </row>
    <row r="960" spans="1:15" x14ac:dyDescent="0.3">
      <c r="A960" s="10">
        <v>959</v>
      </c>
      <c r="B960" s="18">
        <v>45885</v>
      </c>
      <c r="C960" s="6" t="s">
        <v>978</v>
      </c>
      <c r="D960" s="6" t="s">
        <v>1</v>
      </c>
      <c r="E960" s="6" t="s">
        <v>19</v>
      </c>
      <c r="F960" s="6">
        <v>21</v>
      </c>
      <c r="G960" s="6" t="s">
        <v>15</v>
      </c>
      <c r="H960" s="6">
        <v>5</v>
      </c>
      <c r="I960" s="6">
        <v>311</v>
      </c>
      <c r="J960" s="11">
        <v>1555</v>
      </c>
      <c r="M960" s="6" t="str" cm="1">
        <f t="array" ref="M960">_xlfn.IFS(J960&lt;=500,"Low",J960&gt;=1500,"Mid",J960&lt;=1500,"High",TRUE,"no")</f>
        <v>Mid</v>
      </c>
      <c r="N960" s="6"/>
      <c r="O960" s="6" t="str">
        <f t="shared" si="22"/>
        <v>Charlie</v>
      </c>
    </row>
    <row r="961" spans="1:15" x14ac:dyDescent="0.3">
      <c r="A961" s="10">
        <v>960</v>
      </c>
      <c r="B961" s="18">
        <v>45886</v>
      </c>
      <c r="C961" s="6" t="s">
        <v>979</v>
      </c>
      <c r="D961" s="6" t="s">
        <v>1</v>
      </c>
      <c r="E961" s="6" t="s">
        <v>19</v>
      </c>
      <c r="F961" s="6">
        <v>20</v>
      </c>
      <c r="G961" s="6" t="s">
        <v>20</v>
      </c>
      <c r="H961" s="6">
        <v>2</v>
      </c>
      <c r="I961" s="6">
        <v>167</v>
      </c>
      <c r="J961" s="11">
        <v>334</v>
      </c>
      <c r="M961" s="6" t="str" cm="1">
        <f t="array" ref="M961">_xlfn.IFS(J961&lt;=500,"Low",J961&gt;=1500,"Mid",J961&lt;=1500,"High",TRUE,"no")</f>
        <v>Low</v>
      </c>
      <c r="N961" s="6"/>
      <c r="O961" s="6" t="str">
        <f t="shared" si="22"/>
        <v>Charlie</v>
      </c>
    </row>
    <row r="962" spans="1:15" x14ac:dyDescent="0.3">
      <c r="A962" s="10">
        <v>961</v>
      </c>
      <c r="B962" s="18">
        <v>45887</v>
      </c>
      <c r="C962" s="6" t="s">
        <v>980</v>
      </c>
      <c r="D962" s="6" t="s">
        <v>1</v>
      </c>
      <c r="E962" s="6" t="s">
        <v>19</v>
      </c>
      <c r="F962" s="6">
        <v>23</v>
      </c>
      <c r="G962" s="6" t="s">
        <v>17</v>
      </c>
      <c r="H962" s="6">
        <v>3</v>
      </c>
      <c r="I962" s="6">
        <v>159</v>
      </c>
      <c r="J962" s="11">
        <v>477</v>
      </c>
      <c r="M962" s="6" t="str" cm="1">
        <f t="array" ref="M962">_xlfn.IFS(J962&lt;=500,"Low",J962&gt;=1500,"Mid",J962&lt;=1500,"High",TRUE,"no")</f>
        <v>Low</v>
      </c>
      <c r="N962" s="6"/>
      <c r="O962" s="6" t="str">
        <f t="shared" si="22"/>
        <v>Charlie</v>
      </c>
    </row>
    <row r="963" spans="1:15" x14ac:dyDescent="0.3">
      <c r="A963" s="10">
        <v>962</v>
      </c>
      <c r="B963" s="18">
        <v>45888</v>
      </c>
      <c r="C963" s="6" t="s">
        <v>981</v>
      </c>
      <c r="D963" s="6" t="s">
        <v>1</v>
      </c>
      <c r="E963" s="6" t="s">
        <v>14</v>
      </c>
      <c r="F963" s="6">
        <v>34</v>
      </c>
      <c r="G963" s="6" t="s">
        <v>15</v>
      </c>
      <c r="H963" s="6">
        <v>2</v>
      </c>
      <c r="I963" s="6">
        <v>20</v>
      </c>
      <c r="J963" s="11">
        <v>40</v>
      </c>
      <c r="M963" s="6" t="str" cm="1">
        <f t="array" ref="M963">_xlfn.IFS(J963&lt;=500,"Low",J963&gt;=1500,"Mid",J963&lt;=1500,"High",TRUE,"no")</f>
        <v>Low</v>
      </c>
      <c r="N963" s="6"/>
      <c r="O963" s="6" t="str">
        <f t="shared" ref="O963:O1001" si="23">INDEX(D963:D1962,MATCH($D$2,$D$2:$D$1001,0))</f>
        <v>Charlie</v>
      </c>
    </row>
    <row r="964" spans="1:15" x14ac:dyDescent="0.3">
      <c r="A964" s="10">
        <v>963</v>
      </c>
      <c r="B964" s="18">
        <v>45889</v>
      </c>
      <c r="C964" s="6" t="s">
        <v>982</v>
      </c>
      <c r="D964" s="6" t="s">
        <v>1</v>
      </c>
      <c r="E964" s="6" t="s">
        <v>14</v>
      </c>
      <c r="F964" s="6">
        <v>51</v>
      </c>
      <c r="G964" s="6" t="s">
        <v>15</v>
      </c>
      <c r="H964" s="6">
        <v>2</v>
      </c>
      <c r="I964" s="6">
        <v>495</v>
      </c>
      <c r="J964" s="11">
        <v>990</v>
      </c>
      <c r="M964" s="6" t="str" cm="1">
        <f t="array" ref="M964">_xlfn.IFS(J964&lt;=500,"Low",J964&gt;=1500,"Mid",J964&lt;=1500,"High",TRUE,"no")</f>
        <v>High</v>
      </c>
      <c r="N964" s="6"/>
      <c r="O964" s="6" t="str">
        <f t="shared" si="23"/>
        <v>Charlie</v>
      </c>
    </row>
    <row r="965" spans="1:15" x14ac:dyDescent="0.3">
      <c r="A965" s="10">
        <v>964</v>
      </c>
      <c r="B965" s="18">
        <v>45890</v>
      </c>
      <c r="C965" s="6" t="s">
        <v>983</v>
      </c>
      <c r="D965" s="6" t="s">
        <v>2</v>
      </c>
      <c r="E965" s="6" t="s">
        <v>14</v>
      </c>
      <c r="F965" s="6">
        <v>44</v>
      </c>
      <c r="G965" s="6" t="s">
        <v>23</v>
      </c>
      <c r="H965" s="6">
        <v>3</v>
      </c>
      <c r="I965" s="6">
        <v>171</v>
      </c>
      <c r="J965" s="11">
        <v>513</v>
      </c>
      <c r="M965" s="6" t="str" cm="1">
        <f t="array" ref="M965">_xlfn.IFS(J965&lt;=500,"Low",J965&gt;=1500,"Mid",J965&lt;=1500,"High",TRUE,"no")</f>
        <v>High</v>
      </c>
      <c r="N965" s="6"/>
      <c r="O965" s="6" t="str">
        <f t="shared" si="23"/>
        <v>Diana</v>
      </c>
    </row>
    <row r="966" spans="1:15" x14ac:dyDescent="0.3">
      <c r="A966" s="10">
        <v>965</v>
      </c>
      <c r="B966" s="18">
        <v>45891</v>
      </c>
      <c r="C966" s="6" t="s">
        <v>984</v>
      </c>
      <c r="D966" s="6" t="s">
        <v>3</v>
      </c>
      <c r="E966" s="6" t="s">
        <v>14</v>
      </c>
      <c r="F966" s="6">
        <v>30</v>
      </c>
      <c r="G966" s="6" t="s">
        <v>15</v>
      </c>
      <c r="H966" s="6">
        <v>2</v>
      </c>
      <c r="I966" s="6">
        <v>151</v>
      </c>
      <c r="J966" s="11">
        <v>302</v>
      </c>
      <c r="M966" s="6" t="str" cm="1">
        <f t="array" ref="M966">_xlfn.IFS(J966&lt;=500,"Low",J966&gt;=1500,"Mid",J966&lt;=1500,"High",TRUE,"no")</f>
        <v>Low</v>
      </c>
      <c r="N966" s="6"/>
      <c r="O966" s="6" t="str">
        <f t="shared" si="23"/>
        <v>Bob</v>
      </c>
    </row>
    <row r="967" spans="1:15" x14ac:dyDescent="0.3">
      <c r="A967" s="10">
        <v>966</v>
      </c>
      <c r="B967" s="18">
        <v>45892</v>
      </c>
      <c r="C967" s="6" t="s">
        <v>985</v>
      </c>
      <c r="D967" s="6" t="s">
        <v>2</v>
      </c>
      <c r="E967" s="6" t="s">
        <v>14</v>
      </c>
      <c r="F967" s="6">
        <v>26</v>
      </c>
      <c r="G967" s="6" t="s">
        <v>27</v>
      </c>
      <c r="H967" s="6">
        <v>1</v>
      </c>
      <c r="I967" s="6">
        <v>180</v>
      </c>
      <c r="J967" s="11">
        <v>180</v>
      </c>
      <c r="M967" s="6" t="str" cm="1">
        <f t="array" ref="M967">_xlfn.IFS(J967&lt;=500,"Low",J967&gt;=1500,"Mid",J967&lt;=1500,"High",TRUE,"no")</f>
        <v>Low</v>
      </c>
      <c r="N967" s="6"/>
      <c r="O967" s="6" t="str">
        <f t="shared" si="23"/>
        <v>Diana</v>
      </c>
    </row>
    <row r="968" spans="1:15" x14ac:dyDescent="0.3">
      <c r="A968" s="10">
        <v>967</v>
      </c>
      <c r="B968" s="18">
        <v>45893</v>
      </c>
      <c r="C968" s="6" t="s">
        <v>986</v>
      </c>
      <c r="D968" s="6" t="s">
        <v>2</v>
      </c>
      <c r="E968" s="6" t="s">
        <v>19</v>
      </c>
      <c r="F968" s="6">
        <v>39</v>
      </c>
      <c r="G968" s="6" t="s">
        <v>15</v>
      </c>
      <c r="H968" s="6">
        <v>4</v>
      </c>
      <c r="I968" s="6">
        <v>107</v>
      </c>
      <c r="J968" s="11">
        <v>428</v>
      </c>
      <c r="M968" s="6" t="str" cm="1">
        <f t="array" ref="M968">_xlfn.IFS(J968&lt;=500,"Low",J968&gt;=1500,"Mid",J968&lt;=1500,"High",TRUE,"no")</f>
        <v>Low</v>
      </c>
      <c r="N968" s="6"/>
      <c r="O968" s="6" t="str">
        <f t="shared" si="23"/>
        <v>Diana</v>
      </c>
    </row>
    <row r="969" spans="1:15" x14ac:dyDescent="0.3">
      <c r="A969" s="10">
        <v>968</v>
      </c>
      <c r="B969" s="18">
        <v>45894</v>
      </c>
      <c r="C969" s="6" t="s">
        <v>987</v>
      </c>
      <c r="D969" s="6" t="s">
        <v>4</v>
      </c>
      <c r="E969" s="6" t="s">
        <v>19</v>
      </c>
      <c r="F969" s="6">
        <v>20</v>
      </c>
      <c r="G969" s="6" t="s">
        <v>17</v>
      </c>
      <c r="H969" s="6">
        <v>4</v>
      </c>
      <c r="I969" s="6">
        <v>491</v>
      </c>
      <c r="J969" s="11">
        <v>1964</v>
      </c>
      <c r="M969" s="6" t="str" cm="1">
        <f t="array" ref="M969">_xlfn.IFS(J969&lt;=500,"Low",J969&gt;=1500,"Mid",J969&lt;=1500,"High",TRUE,"no")</f>
        <v>Mid</v>
      </c>
      <c r="N969" s="6"/>
      <c r="O969" s="6" t="str">
        <f t="shared" si="23"/>
        <v>Alice</v>
      </c>
    </row>
    <row r="970" spans="1:15" x14ac:dyDescent="0.3">
      <c r="A970" s="10">
        <v>969</v>
      </c>
      <c r="B970" s="18">
        <v>45895</v>
      </c>
      <c r="C970" s="6" t="s">
        <v>988</v>
      </c>
      <c r="D970" s="6" t="s">
        <v>2</v>
      </c>
      <c r="E970" s="6" t="s">
        <v>19</v>
      </c>
      <c r="F970" s="6">
        <v>46</v>
      </c>
      <c r="G970" s="6" t="s">
        <v>17</v>
      </c>
      <c r="H970" s="6">
        <v>2</v>
      </c>
      <c r="I970" s="6">
        <v>106</v>
      </c>
      <c r="J970" s="11">
        <v>212</v>
      </c>
      <c r="M970" s="6" t="str" cm="1">
        <f t="array" ref="M970">_xlfn.IFS(J970&lt;=500,"Low",J970&gt;=1500,"Mid",J970&lt;=1500,"High",TRUE,"no")</f>
        <v>Low</v>
      </c>
      <c r="N970" s="6"/>
      <c r="O970" s="6" t="str">
        <f t="shared" si="23"/>
        <v>Diana</v>
      </c>
    </row>
    <row r="971" spans="1:15" x14ac:dyDescent="0.3">
      <c r="A971" s="10">
        <v>970</v>
      </c>
      <c r="B971" s="18">
        <v>45896</v>
      </c>
      <c r="C971" s="6" t="s">
        <v>989</v>
      </c>
      <c r="D971" s="6" t="s">
        <v>1</v>
      </c>
      <c r="E971" s="6" t="s">
        <v>19</v>
      </c>
      <c r="F971" s="6">
        <v>38</v>
      </c>
      <c r="G971" s="6" t="s">
        <v>27</v>
      </c>
      <c r="H971" s="6">
        <v>2</v>
      </c>
      <c r="I971" s="6">
        <v>259</v>
      </c>
      <c r="J971" s="11">
        <v>518</v>
      </c>
      <c r="M971" s="6" t="str" cm="1">
        <f t="array" ref="M971">_xlfn.IFS(J971&lt;=500,"Low",J971&gt;=1500,"Mid",J971&lt;=1500,"High",TRUE,"no")</f>
        <v>High</v>
      </c>
      <c r="N971" s="6"/>
      <c r="O971" s="6" t="str">
        <f t="shared" si="23"/>
        <v>Charlie</v>
      </c>
    </row>
    <row r="972" spans="1:15" x14ac:dyDescent="0.3">
      <c r="A972" s="10">
        <v>971</v>
      </c>
      <c r="B972" s="18">
        <v>45897</v>
      </c>
      <c r="C972" s="6" t="s">
        <v>990</v>
      </c>
      <c r="D972" s="6" t="s">
        <v>1</v>
      </c>
      <c r="E972" s="6" t="s">
        <v>19</v>
      </c>
      <c r="F972" s="6">
        <v>44</v>
      </c>
      <c r="G972" s="6" t="s">
        <v>27</v>
      </c>
      <c r="H972" s="6">
        <v>2</v>
      </c>
      <c r="I972" s="6">
        <v>399</v>
      </c>
      <c r="J972" s="11">
        <v>798</v>
      </c>
      <c r="M972" s="6" t="str" cm="1">
        <f t="array" ref="M972">_xlfn.IFS(J972&lt;=500,"Low",J972&gt;=1500,"Mid",J972&lt;=1500,"High",TRUE,"no")</f>
        <v>High</v>
      </c>
      <c r="N972" s="6"/>
      <c r="O972" s="6" t="str">
        <f t="shared" si="23"/>
        <v>Charlie</v>
      </c>
    </row>
    <row r="973" spans="1:15" x14ac:dyDescent="0.3">
      <c r="A973" s="10">
        <v>972</v>
      </c>
      <c r="B973" s="18">
        <v>45898</v>
      </c>
      <c r="C973" s="6" t="s">
        <v>991</v>
      </c>
      <c r="D973" s="6" t="s">
        <v>4</v>
      </c>
      <c r="E973" s="6" t="s">
        <v>14</v>
      </c>
      <c r="F973" s="6">
        <v>33</v>
      </c>
      <c r="G973" s="6" t="s">
        <v>17</v>
      </c>
      <c r="H973" s="6">
        <v>4</v>
      </c>
      <c r="I973" s="6">
        <v>256</v>
      </c>
      <c r="J973" s="11">
        <v>1024</v>
      </c>
      <c r="M973" s="6" t="str" cm="1">
        <f t="array" ref="M973">_xlfn.IFS(J973&lt;=500,"Low",J973&gt;=1500,"Mid",J973&lt;=1500,"High",TRUE,"no")</f>
        <v>High</v>
      </c>
      <c r="N973" s="6"/>
      <c r="O973" s="6" t="str">
        <f t="shared" si="23"/>
        <v>Alice</v>
      </c>
    </row>
    <row r="974" spans="1:15" x14ac:dyDescent="0.3">
      <c r="A974" s="10">
        <v>973</v>
      </c>
      <c r="B974" s="18">
        <v>45899</v>
      </c>
      <c r="C974" s="6" t="s">
        <v>992</v>
      </c>
      <c r="D974" s="6" t="s">
        <v>4</v>
      </c>
      <c r="E974" s="6" t="s">
        <v>14</v>
      </c>
      <c r="F974" s="6">
        <v>50</v>
      </c>
      <c r="G974" s="6" t="s">
        <v>23</v>
      </c>
      <c r="H974" s="6">
        <v>1</v>
      </c>
      <c r="I974" s="6">
        <v>384</v>
      </c>
      <c r="J974" s="11">
        <v>384</v>
      </c>
      <c r="M974" s="6" t="str" cm="1">
        <f t="array" ref="M974">_xlfn.IFS(J974&lt;=500,"Low",J974&gt;=1500,"Mid",J974&lt;=1500,"High",TRUE,"no")</f>
        <v>Low</v>
      </c>
      <c r="N974" s="6"/>
      <c r="O974" s="6" t="str">
        <f t="shared" si="23"/>
        <v>Alice</v>
      </c>
    </row>
    <row r="975" spans="1:15" x14ac:dyDescent="0.3">
      <c r="A975" s="10">
        <v>974</v>
      </c>
      <c r="B975" s="18">
        <v>45900</v>
      </c>
      <c r="C975" s="6" t="s">
        <v>993</v>
      </c>
      <c r="D975" s="6" t="s">
        <v>4</v>
      </c>
      <c r="E975" s="6" t="s">
        <v>14</v>
      </c>
      <c r="F975" s="6">
        <v>53</v>
      </c>
      <c r="G975" s="6" t="s">
        <v>27</v>
      </c>
      <c r="H975" s="6">
        <v>2</v>
      </c>
      <c r="I975" s="6">
        <v>284</v>
      </c>
      <c r="J975" s="11">
        <v>568</v>
      </c>
      <c r="M975" s="6" t="str" cm="1">
        <f t="array" ref="M975">_xlfn.IFS(J975&lt;=500,"Low",J975&gt;=1500,"Mid",J975&lt;=1500,"High",TRUE,"no")</f>
        <v>High</v>
      </c>
      <c r="N975" s="6"/>
      <c r="O975" s="6" t="str">
        <f t="shared" si="23"/>
        <v>Alice</v>
      </c>
    </row>
    <row r="976" spans="1:15" x14ac:dyDescent="0.3">
      <c r="A976" s="10">
        <v>975</v>
      </c>
      <c r="B976" s="18">
        <v>45901</v>
      </c>
      <c r="C976" s="6" t="s">
        <v>994</v>
      </c>
      <c r="D976" s="6" t="s">
        <v>4</v>
      </c>
      <c r="E976" s="6" t="s">
        <v>19</v>
      </c>
      <c r="F976" s="6">
        <v>59</v>
      </c>
      <c r="G976" s="6" t="s">
        <v>27</v>
      </c>
      <c r="H976" s="6">
        <v>3</v>
      </c>
      <c r="I976" s="6">
        <v>20</v>
      </c>
      <c r="J976" s="11">
        <v>60</v>
      </c>
      <c r="M976" s="6" t="str" cm="1">
        <f t="array" ref="M976">_xlfn.IFS(J976&lt;=500,"Low",J976&gt;=1500,"Mid",J976&lt;=1500,"High",TRUE,"no")</f>
        <v>Low</v>
      </c>
      <c r="N976" s="6"/>
      <c r="O976" s="6" t="str">
        <f t="shared" si="23"/>
        <v>Alice</v>
      </c>
    </row>
    <row r="977" spans="1:15" x14ac:dyDescent="0.3">
      <c r="A977" s="10">
        <v>976</v>
      </c>
      <c r="B977" s="18">
        <v>45902</v>
      </c>
      <c r="C977" s="6" t="s">
        <v>995</v>
      </c>
      <c r="D977" s="6" t="s">
        <v>4</v>
      </c>
      <c r="E977" s="6" t="s">
        <v>19</v>
      </c>
      <c r="F977" s="6">
        <v>53</v>
      </c>
      <c r="G977" s="6" t="s">
        <v>17</v>
      </c>
      <c r="H977" s="6">
        <v>3</v>
      </c>
      <c r="I977" s="6">
        <v>386</v>
      </c>
      <c r="J977" s="11">
        <v>1158</v>
      </c>
      <c r="M977" s="6" t="str" cm="1">
        <f t="array" ref="M977">_xlfn.IFS(J977&lt;=500,"Low",J977&gt;=1500,"Mid",J977&lt;=1500,"High",TRUE,"no")</f>
        <v>High</v>
      </c>
      <c r="N977" s="6"/>
      <c r="O977" s="6" t="str">
        <f t="shared" si="23"/>
        <v>Alice</v>
      </c>
    </row>
    <row r="978" spans="1:15" x14ac:dyDescent="0.3">
      <c r="A978" s="10">
        <v>977</v>
      </c>
      <c r="B978" s="18">
        <v>45903</v>
      </c>
      <c r="C978" s="6" t="s">
        <v>996</v>
      </c>
      <c r="D978" s="6" t="s">
        <v>2</v>
      </c>
      <c r="E978" s="6" t="s">
        <v>14</v>
      </c>
      <c r="F978" s="6">
        <v>43</v>
      </c>
      <c r="G978" s="6" t="s">
        <v>23</v>
      </c>
      <c r="H978" s="6">
        <v>3</v>
      </c>
      <c r="I978" s="6">
        <v>47</v>
      </c>
      <c r="J978" s="11">
        <v>141</v>
      </c>
      <c r="M978" s="6" t="str" cm="1">
        <f t="array" ref="M978">_xlfn.IFS(J978&lt;=500,"Low",J978&gt;=1500,"Mid",J978&lt;=1500,"High",TRUE,"no")</f>
        <v>Low</v>
      </c>
      <c r="N978" s="6"/>
      <c r="O978" s="6" t="str">
        <f t="shared" si="23"/>
        <v>Diana</v>
      </c>
    </row>
    <row r="979" spans="1:15" x14ac:dyDescent="0.3">
      <c r="A979" s="10">
        <v>978</v>
      </c>
      <c r="B979" s="18">
        <v>45904</v>
      </c>
      <c r="C979" s="6" t="s">
        <v>997</v>
      </c>
      <c r="D979" s="6" t="s">
        <v>4</v>
      </c>
      <c r="E979" s="6" t="s">
        <v>14</v>
      </c>
      <c r="F979" s="6">
        <v>31</v>
      </c>
      <c r="G979" s="6" t="s">
        <v>23</v>
      </c>
      <c r="H979" s="6">
        <v>3</v>
      </c>
      <c r="I979" s="6">
        <v>195</v>
      </c>
      <c r="J979" s="11">
        <v>585</v>
      </c>
      <c r="M979" s="6" t="str" cm="1">
        <f t="array" ref="M979">_xlfn.IFS(J979&lt;=500,"Low",J979&gt;=1500,"Mid",J979&lt;=1500,"High",TRUE,"no")</f>
        <v>High</v>
      </c>
      <c r="N979" s="6"/>
      <c r="O979" s="6" t="str">
        <f t="shared" si="23"/>
        <v>Alice</v>
      </c>
    </row>
    <row r="980" spans="1:15" x14ac:dyDescent="0.3">
      <c r="A980" s="10">
        <v>979</v>
      </c>
      <c r="B980" s="18">
        <v>45905</v>
      </c>
      <c r="C980" s="6" t="s">
        <v>998</v>
      </c>
      <c r="D980" s="6" t="s">
        <v>2</v>
      </c>
      <c r="E980" s="6" t="s">
        <v>14</v>
      </c>
      <c r="F980" s="6">
        <v>60</v>
      </c>
      <c r="G980" s="6" t="s">
        <v>27</v>
      </c>
      <c r="H980" s="6">
        <v>5</v>
      </c>
      <c r="I980" s="6">
        <v>56</v>
      </c>
      <c r="J980" s="11">
        <v>280</v>
      </c>
      <c r="M980" s="6" t="str" cm="1">
        <f t="array" ref="M980">_xlfn.IFS(J980&lt;=500,"Low",J980&gt;=1500,"Mid",J980&lt;=1500,"High",TRUE,"no")</f>
        <v>Low</v>
      </c>
      <c r="N980" s="6"/>
      <c r="O980" s="6" t="str">
        <f t="shared" si="23"/>
        <v>Diana</v>
      </c>
    </row>
    <row r="981" spans="1:15" x14ac:dyDescent="0.3">
      <c r="A981" s="10">
        <v>980</v>
      </c>
      <c r="B981" s="18">
        <v>45906</v>
      </c>
      <c r="C981" s="6" t="s">
        <v>999</v>
      </c>
      <c r="D981" s="6" t="s">
        <v>3</v>
      </c>
      <c r="E981" s="6" t="s">
        <v>19</v>
      </c>
      <c r="F981" s="6">
        <v>43</v>
      </c>
      <c r="G981" s="6" t="s">
        <v>20</v>
      </c>
      <c r="H981" s="6">
        <v>5</v>
      </c>
      <c r="I981" s="6">
        <v>247</v>
      </c>
      <c r="J981" s="11">
        <v>1235</v>
      </c>
      <c r="M981" s="6" t="str" cm="1">
        <f t="array" ref="M981">_xlfn.IFS(J981&lt;=500,"Low",J981&gt;=1500,"Mid",J981&lt;=1500,"High",TRUE,"no")</f>
        <v>High</v>
      </c>
      <c r="N981" s="6"/>
      <c r="O981" s="6" t="str">
        <f t="shared" si="23"/>
        <v>Bob</v>
      </c>
    </row>
    <row r="982" spans="1:15" x14ac:dyDescent="0.3">
      <c r="A982" s="10">
        <v>981</v>
      </c>
      <c r="B982" s="18">
        <v>45907</v>
      </c>
      <c r="C982" s="6" t="s">
        <v>1000</v>
      </c>
      <c r="D982" s="6" t="s">
        <v>4</v>
      </c>
      <c r="E982" s="6" t="s">
        <v>19</v>
      </c>
      <c r="F982" s="6">
        <v>55</v>
      </c>
      <c r="G982" s="6" t="s">
        <v>20</v>
      </c>
      <c r="H982" s="6">
        <v>1</v>
      </c>
      <c r="I982" s="6">
        <v>190</v>
      </c>
      <c r="J982" s="11">
        <v>190</v>
      </c>
      <c r="M982" s="6" t="str" cm="1">
        <f t="array" ref="M982">_xlfn.IFS(J982&lt;=500,"Low",J982&gt;=1500,"Mid",J982&lt;=1500,"High",TRUE,"no")</f>
        <v>Low</v>
      </c>
      <c r="N982" s="6"/>
      <c r="O982" s="6" t="str">
        <f t="shared" si="23"/>
        <v>Alice</v>
      </c>
    </row>
    <row r="983" spans="1:15" x14ac:dyDescent="0.3">
      <c r="A983" s="10">
        <v>982</v>
      </c>
      <c r="B983" s="18">
        <v>45908</v>
      </c>
      <c r="C983" s="6" t="s">
        <v>1001</v>
      </c>
      <c r="D983" s="6" t="s">
        <v>4</v>
      </c>
      <c r="E983" s="6" t="s">
        <v>14</v>
      </c>
      <c r="F983" s="6">
        <v>38</v>
      </c>
      <c r="G983" s="6" t="s">
        <v>17</v>
      </c>
      <c r="H983" s="6">
        <v>2</v>
      </c>
      <c r="I983" s="6">
        <v>220</v>
      </c>
      <c r="J983" s="11">
        <v>440</v>
      </c>
      <c r="M983" s="6" t="str" cm="1">
        <f t="array" ref="M983">_xlfn.IFS(J983&lt;=500,"Low",J983&gt;=1500,"Mid",J983&lt;=1500,"High",TRUE,"no")</f>
        <v>Low</v>
      </c>
      <c r="N983" s="6"/>
      <c r="O983" s="6" t="str">
        <f t="shared" si="23"/>
        <v>Alice</v>
      </c>
    </row>
    <row r="984" spans="1:15" x14ac:dyDescent="0.3">
      <c r="A984" s="10">
        <v>983</v>
      </c>
      <c r="B984" s="18">
        <v>45909</v>
      </c>
      <c r="C984" s="6" t="s">
        <v>1002</v>
      </c>
      <c r="D984" s="6" t="s">
        <v>2</v>
      </c>
      <c r="E984" s="6" t="s">
        <v>14</v>
      </c>
      <c r="F984" s="6">
        <v>50</v>
      </c>
      <c r="G984" s="6" t="s">
        <v>15</v>
      </c>
      <c r="H984" s="6">
        <v>1</v>
      </c>
      <c r="I984" s="6">
        <v>312</v>
      </c>
      <c r="J984" s="11">
        <v>312</v>
      </c>
      <c r="M984" s="6" t="str" cm="1">
        <f t="array" ref="M984">_xlfn.IFS(J984&lt;=500,"Low",J984&gt;=1500,"Mid",J984&lt;=1500,"High",TRUE,"no")</f>
        <v>Low</v>
      </c>
      <c r="N984" s="6"/>
      <c r="O984" s="6" t="str">
        <f t="shared" si="23"/>
        <v>Diana</v>
      </c>
    </row>
    <row r="985" spans="1:15" x14ac:dyDescent="0.3">
      <c r="A985" s="10">
        <v>984</v>
      </c>
      <c r="B985" s="18">
        <v>45910</v>
      </c>
      <c r="C985" s="6" t="s">
        <v>1003</v>
      </c>
      <c r="D985" s="6" t="s">
        <v>3</v>
      </c>
      <c r="E985" s="6" t="s">
        <v>14</v>
      </c>
      <c r="F985" s="6">
        <v>22</v>
      </c>
      <c r="G985" s="6" t="s">
        <v>23</v>
      </c>
      <c r="H985" s="6">
        <v>1</v>
      </c>
      <c r="I985" s="6">
        <v>371</v>
      </c>
      <c r="J985" s="11">
        <v>371</v>
      </c>
      <c r="M985" s="6" t="str" cm="1">
        <f t="array" ref="M985">_xlfn.IFS(J985&lt;=500,"Low",J985&gt;=1500,"Mid",J985&lt;=1500,"High",TRUE,"no")</f>
        <v>Low</v>
      </c>
      <c r="N985" s="6"/>
      <c r="O985" s="6" t="str">
        <f t="shared" si="23"/>
        <v>Bob</v>
      </c>
    </row>
    <row r="986" spans="1:15" x14ac:dyDescent="0.3">
      <c r="A986" s="10">
        <v>985</v>
      </c>
      <c r="B986" s="18">
        <v>45911</v>
      </c>
      <c r="C986" s="6" t="s">
        <v>1004</v>
      </c>
      <c r="D986" s="6" t="s">
        <v>2</v>
      </c>
      <c r="E986" s="6" t="s">
        <v>14</v>
      </c>
      <c r="F986" s="6">
        <v>59</v>
      </c>
      <c r="G986" s="6" t="s">
        <v>15</v>
      </c>
      <c r="H986" s="6">
        <v>1</v>
      </c>
      <c r="I986" s="6">
        <v>87</v>
      </c>
      <c r="J986" s="11">
        <v>87</v>
      </c>
      <c r="M986" s="6" t="str" cm="1">
        <f t="array" ref="M986">_xlfn.IFS(J986&lt;=500,"Low",J986&gt;=1500,"Mid",J986&lt;=1500,"High",TRUE,"no")</f>
        <v>Low</v>
      </c>
      <c r="N986" s="6"/>
      <c r="O986" s="6" t="str">
        <f t="shared" si="23"/>
        <v>Diana</v>
      </c>
    </row>
    <row r="987" spans="1:15" x14ac:dyDescent="0.3">
      <c r="A987" s="10">
        <v>986</v>
      </c>
      <c r="B987" s="18">
        <v>45912</v>
      </c>
      <c r="C987" s="6" t="s">
        <v>1005</v>
      </c>
      <c r="D987" s="6" t="s">
        <v>2</v>
      </c>
      <c r="E987" s="6" t="s">
        <v>14</v>
      </c>
      <c r="F987" s="6">
        <v>47</v>
      </c>
      <c r="G987" s="6" t="s">
        <v>27</v>
      </c>
      <c r="H987" s="6">
        <v>2</v>
      </c>
      <c r="I987" s="6">
        <v>397</v>
      </c>
      <c r="J987" s="11">
        <v>794</v>
      </c>
      <c r="M987" s="6" t="str" cm="1">
        <f t="array" ref="M987">_xlfn.IFS(J987&lt;=500,"Low",J987&gt;=1500,"Mid",J987&lt;=1500,"High",TRUE,"no")</f>
        <v>High</v>
      </c>
      <c r="N987" s="6"/>
      <c r="O987" s="6" t="str">
        <f t="shared" si="23"/>
        <v>Diana</v>
      </c>
    </row>
    <row r="988" spans="1:15" x14ac:dyDescent="0.3">
      <c r="A988" s="10">
        <v>987</v>
      </c>
      <c r="B988" s="18">
        <v>45913</v>
      </c>
      <c r="C988" s="6" t="s">
        <v>1006</v>
      </c>
      <c r="D988" s="6" t="s">
        <v>4</v>
      </c>
      <c r="E988" s="6" t="s">
        <v>19</v>
      </c>
      <c r="F988" s="6">
        <v>25</v>
      </c>
      <c r="G988" s="6" t="s">
        <v>15</v>
      </c>
      <c r="H988" s="6">
        <v>1</v>
      </c>
      <c r="I988" s="6">
        <v>25</v>
      </c>
      <c r="J988" s="11">
        <v>25</v>
      </c>
      <c r="M988" s="6" t="str" cm="1">
        <f t="array" ref="M988">_xlfn.IFS(J988&lt;=500,"Low",J988&gt;=1500,"Mid",J988&lt;=1500,"High",TRUE,"no")</f>
        <v>Low</v>
      </c>
      <c r="N988" s="6"/>
      <c r="O988" s="6" t="str">
        <f t="shared" si="23"/>
        <v>Alice</v>
      </c>
    </row>
    <row r="989" spans="1:15" x14ac:dyDescent="0.3">
      <c r="A989" s="10">
        <v>988</v>
      </c>
      <c r="B989" s="18">
        <v>45914</v>
      </c>
      <c r="C989" s="6" t="s">
        <v>1007</v>
      </c>
      <c r="D989" s="6" t="s">
        <v>1</v>
      </c>
      <c r="E989" s="6" t="s">
        <v>14</v>
      </c>
      <c r="F989" s="6">
        <v>47</v>
      </c>
      <c r="G989" s="6" t="s">
        <v>20</v>
      </c>
      <c r="H989" s="6">
        <v>2</v>
      </c>
      <c r="I989" s="6">
        <v>401</v>
      </c>
      <c r="J989" s="11">
        <v>802</v>
      </c>
      <c r="M989" s="6" t="str" cm="1">
        <f t="array" ref="M989">_xlfn.IFS(J989&lt;=500,"Low",J989&gt;=1500,"Mid",J989&lt;=1500,"High",TRUE,"no")</f>
        <v>High</v>
      </c>
      <c r="N989" s="6"/>
      <c r="O989" s="6" t="str">
        <f t="shared" si="23"/>
        <v>Charlie</v>
      </c>
    </row>
    <row r="990" spans="1:15" x14ac:dyDescent="0.3">
      <c r="A990" s="10">
        <v>989</v>
      </c>
      <c r="B990" s="18">
        <v>45915</v>
      </c>
      <c r="C990" s="6" t="s">
        <v>1008</v>
      </c>
      <c r="D990" s="6" t="s">
        <v>1</v>
      </c>
      <c r="E990" s="6" t="s">
        <v>19</v>
      </c>
      <c r="F990" s="6">
        <v>52</v>
      </c>
      <c r="G990" s="6" t="s">
        <v>17</v>
      </c>
      <c r="H990" s="6">
        <v>2</v>
      </c>
      <c r="I990" s="6">
        <v>338</v>
      </c>
      <c r="J990" s="11">
        <v>676</v>
      </c>
      <c r="M990" s="6" t="str" cm="1">
        <f t="array" ref="M990">_xlfn.IFS(J990&lt;=500,"Low",J990&gt;=1500,"Mid",J990&lt;=1500,"High",TRUE,"no")</f>
        <v>High</v>
      </c>
      <c r="N990" s="6"/>
      <c r="O990" s="6" t="str">
        <f t="shared" si="23"/>
        <v>Charlie</v>
      </c>
    </row>
    <row r="991" spans="1:15" x14ac:dyDescent="0.3">
      <c r="A991" s="10">
        <v>990</v>
      </c>
      <c r="B991" s="18">
        <v>45916</v>
      </c>
      <c r="C991" s="6" t="s">
        <v>1009</v>
      </c>
      <c r="D991" s="6" t="s">
        <v>2</v>
      </c>
      <c r="E991" s="6" t="s">
        <v>19</v>
      </c>
      <c r="F991" s="6">
        <v>21</v>
      </c>
      <c r="G991" s="6" t="s">
        <v>17</v>
      </c>
      <c r="H991" s="6">
        <v>2</v>
      </c>
      <c r="I991" s="6">
        <v>92</v>
      </c>
      <c r="J991" s="11">
        <v>184</v>
      </c>
      <c r="M991" s="6" t="str" cm="1">
        <f t="array" ref="M991">_xlfn.IFS(J991&lt;=500,"Low",J991&gt;=1500,"Mid",J991&lt;=1500,"High",TRUE,"no")</f>
        <v>Low</v>
      </c>
      <c r="N991" s="6"/>
      <c r="O991" s="6" t="str">
        <f t="shared" si="23"/>
        <v>Diana</v>
      </c>
    </row>
    <row r="992" spans="1:15" x14ac:dyDescent="0.3">
      <c r="A992" s="10">
        <v>991</v>
      </c>
      <c r="B992" s="18">
        <v>45917</v>
      </c>
      <c r="C992" s="6" t="s">
        <v>1010</v>
      </c>
      <c r="D992" s="6" t="s">
        <v>4</v>
      </c>
      <c r="E992" s="6" t="s">
        <v>14</v>
      </c>
      <c r="F992" s="6">
        <v>24</v>
      </c>
      <c r="G992" s="6" t="s">
        <v>27</v>
      </c>
      <c r="H992" s="6">
        <v>4</v>
      </c>
      <c r="I992" s="6">
        <v>186</v>
      </c>
      <c r="J992" s="11">
        <v>744</v>
      </c>
      <c r="M992" s="6" t="str" cm="1">
        <f t="array" ref="M992">_xlfn.IFS(J992&lt;=500,"Low",J992&gt;=1500,"Mid",J992&lt;=1500,"High",TRUE,"no")</f>
        <v>High</v>
      </c>
      <c r="N992" s="6"/>
      <c r="O992" s="6" t="str">
        <f t="shared" si="23"/>
        <v>Alice</v>
      </c>
    </row>
    <row r="993" spans="1:15" x14ac:dyDescent="0.3">
      <c r="A993" s="10">
        <v>992</v>
      </c>
      <c r="B993" s="18">
        <v>45918</v>
      </c>
      <c r="C993" s="6" t="s">
        <v>1011</v>
      </c>
      <c r="D993" s="6" t="s">
        <v>3</v>
      </c>
      <c r="E993" s="6" t="s">
        <v>19</v>
      </c>
      <c r="F993" s="6">
        <v>59</v>
      </c>
      <c r="G993" s="6" t="s">
        <v>17</v>
      </c>
      <c r="H993" s="6">
        <v>1</v>
      </c>
      <c r="I993" s="6">
        <v>311</v>
      </c>
      <c r="J993" s="11">
        <v>311</v>
      </c>
      <c r="M993" s="6" t="str" cm="1">
        <f t="array" ref="M993">_xlfn.IFS(J993&lt;=500,"Low",J993&gt;=1500,"Mid",J993&lt;=1500,"High",TRUE,"no")</f>
        <v>Low</v>
      </c>
      <c r="N993" s="6"/>
      <c r="O993" s="6" t="str">
        <f t="shared" si="23"/>
        <v>Bob</v>
      </c>
    </row>
    <row r="994" spans="1:15" x14ac:dyDescent="0.3">
      <c r="A994" s="10">
        <v>993</v>
      </c>
      <c r="B994" s="18">
        <v>45919</v>
      </c>
      <c r="C994" s="6" t="s">
        <v>1012</v>
      </c>
      <c r="D994" s="6" t="s">
        <v>1</v>
      </c>
      <c r="E994" s="6" t="s">
        <v>14</v>
      </c>
      <c r="F994" s="6">
        <v>43</v>
      </c>
      <c r="G994" s="6" t="s">
        <v>20</v>
      </c>
      <c r="H994" s="6">
        <v>5</v>
      </c>
      <c r="I994" s="6">
        <v>222</v>
      </c>
      <c r="J994" s="11">
        <v>1110</v>
      </c>
      <c r="M994" s="6" t="str" cm="1">
        <f t="array" ref="M994">_xlfn.IFS(J994&lt;=500,"Low",J994&gt;=1500,"Mid",J994&lt;=1500,"High",TRUE,"no")</f>
        <v>High</v>
      </c>
      <c r="N994" s="6"/>
      <c r="O994" s="6" t="str">
        <f t="shared" si="23"/>
        <v>Charlie</v>
      </c>
    </row>
    <row r="995" spans="1:15" x14ac:dyDescent="0.3">
      <c r="A995" s="10">
        <v>994</v>
      </c>
      <c r="B995" s="18">
        <v>45920</v>
      </c>
      <c r="C995" s="6" t="s">
        <v>1013</v>
      </c>
      <c r="D995" s="6" t="s">
        <v>3</v>
      </c>
      <c r="E995" s="6" t="s">
        <v>19</v>
      </c>
      <c r="F995" s="6">
        <v>47</v>
      </c>
      <c r="G995" s="6" t="s">
        <v>15</v>
      </c>
      <c r="H995" s="6">
        <v>1</v>
      </c>
      <c r="I995" s="6">
        <v>204</v>
      </c>
      <c r="J995" s="11">
        <v>204</v>
      </c>
      <c r="M995" s="6" t="str" cm="1">
        <f t="array" ref="M995">_xlfn.IFS(J995&lt;=500,"Low",J995&gt;=1500,"Mid",J995&lt;=1500,"High",TRUE,"no")</f>
        <v>Low</v>
      </c>
      <c r="N995" s="6"/>
      <c r="O995" s="6" t="str">
        <f t="shared" si="23"/>
        <v>Bob</v>
      </c>
    </row>
    <row r="996" spans="1:15" x14ac:dyDescent="0.3">
      <c r="A996" s="10">
        <v>995</v>
      </c>
      <c r="B996" s="18">
        <v>45921</v>
      </c>
      <c r="C996" s="6" t="s">
        <v>1014</v>
      </c>
      <c r="D996" s="6" t="s">
        <v>1</v>
      </c>
      <c r="E996" s="6" t="s">
        <v>14</v>
      </c>
      <c r="F996" s="6">
        <v>40</v>
      </c>
      <c r="G996" s="6" t="s">
        <v>23</v>
      </c>
      <c r="H996" s="6">
        <v>4</v>
      </c>
      <c r="I996" s="6">
        <v>453</v>
      </c>
      <c r="J996" s="11">
        <v>1812</v>
      </c>
      <c r="M996" s="6" t="str" cm="1">
        <f t="array" ref="M996">_xlfn.IFS(J996&lt;=500,"Low",J996&gt;=1500,"Mid",J996&lt;=1500,"High",TRUE,"no")</f>
        <v>Mid</v>
      </c>
      <c r="N996" s="6"/>
      <c r="O996" s="6" t="str">
        <f t="shared" si="23"/>
        <v>Charlie</v>
      </c>
    </row>
    <row r="997" spans="1:15" x14ac:dyDescent="0.3">
      <c r="A997" s="10">
        <v>996</v>
      </c>
      <c r="B997" s="18">
        <v>45922</v>
      </c>
      <c r="C997" s="6" t="s">
        <v>1015</v>
      </c>
      <c r="D997" s="6" t="s">
        <v>4</v>
      </c>
      <c r="E997" s="6" t="s">
        <v>19</v>
      </c>
      <c r="F997" s="6">
        <v>25</v>
      </c>
      <c r="G997" s="6" t="s">
        <v>27</v>
      </c>
      <c r="H997" s="6">
        <v>1</v>
      </c>
      <c r="I997" s="6">
        <v>149</v>
      </c>
      <c r="J997" s="11">
        <v>149</v>
      </c>
      <c r="M997" s="6" t="str" cm="1">
        <f t="array" ref="M997">_xlfn.IFS(J997&lt;=500,"Low",J997&gt;=1500,"Mid",J997&lt;=1500,"High",TRUE,"no")</f>
        <v>Low</v>
      </c>
      <c r="N997" s="6"/>
      <c r="O997" s="6" t="str">
        <f t="shared" si="23"/>
        <v>Alice</v>
      </c>
    </row>
    <row r="998" spans="1:15" x14ac:dyDescent="0.3">
      <c r="A998" s="10">
        <v>997</v>
      </c>
      <c r="B998" s="18">
        <v>45923</v>
      </c>
      <c r="C998" s="6" t="s">
        <v>1016</v>
      </c>
      <c r="D998" s="6" t="s">
        <v>2</v>
      </c>
      <c r="E998" s="6" t="s">
        <v>19</v>
      </c>
      <c r="F998" s="6">
        <v>48</v>
      </c>
      <c r="G998" s="6" t="s">
        <v>23</v>
      </c>
      <c r="H998" s="6">
        <v>3</v>
      </c>
      <c r="I998" s="6">
        <v>189</v>
      </c>
      <c r="J998" s="11">
        <v>567</v>
      </c>
      <c r="M998" s="6" t="str" cm="1">
        <f t="array" ref="M998">_xlfn.IFS(J998&lt;=500,"Low",J998&gt;=1500,"Mid",J998&lt;=1500,"High",TRUE,"no")</f>
        <v>High</v>
      </c>
      <c r="N998" s="6"/>
      <c r="O998" s="6" t="str">
        <f t="shared" si="23"/>
        <v>Diana</v>
      </c>
    </row>
    <row r="999" spans="1:15" x14ac:dyDescent="0.3">
      <c r="A999" s="10">
        <v>998</v>
      </c>
      <c r="B999" s="18">
        <v>45924</v>
      </c>
      <c r="C999" s="6" t="s">
        <v>1017</v>
      </c>
      <c r="D999" s="6" t="s">
        <v>3</v>
      </c>
      <c r="E999" s="6" t="s">
        <v>19</v>
      </c>
      <c r="F999" s="6">
        <v>51</v>
      </c>
      <c r="G999" s="6" t="s">
        <v>27</v>
      </c>
      <c r="H999" s="6">
        <v>1</v>
      </c>
      <c r="I999" s="6">
        <v>120</v>
      </c>
      <c r="J999" s="11">
        <v>120</v>
      </c>
      <c r="M999" s="6" t="str" cm="1">
        <f t="array" ref="M999">_xlfn.IFS(J999&lt;=500,"Low",J999&gt;=1500,"Mid",J999&lt;=1500,"High",TRUE,"no")</f>
        <v>Low</v>
      </c>
      <c r="N999" s="6"/>
      <c r="O999" s="6" t="str">
        <f t="shared" si="23"/>
        <v>Bob</v>
      </c>
    </row>
    <row r="1000" spans="1:15" x14ac:dyDescent="0.3">
      <c r="A1000" s="10">
        <v>999</v>
      </c>
      <c r="B1000" s="18">
        <v>45925</v>
      </c>
      <c r="C1000" s="6" t="s">
        <v>1018</v>
      </c>
      <c r="D1000" s="6" t="s">
        <v>3</v>
      </c>
      <c r="E1000" s="6" t="s">
        <v>14</v>
      </c>
      <c r="F1000" s="6">
        <v>29</v>
      </c>
      <c r="G1000" s="6" t="s">
        <v>17</v>
      </c>
      <c r="H1000" s="6">
        <v>1</v>
      </c>
      <c r="I1000" s="6">
        <v>444</v>
      </c>
      <c r="J1000" s="11">
        <v>444</v>
      </c>
      <c r="M1000" s="6" t="str" cm="1">
        <f t="array" ref="M1000">_xlfn.IFS(J1000&lt;=500,"Low",J1000&gt;=1500,"Mid",J1000&lt;=1500,"High",TRUE,"no")</f>
        <v>Low</v>
      </c>
      <c r="N1000" s="6"/>
      <c r="O1000" s="6" t="str">
        <f t="shared" si="23"/>
        <v>Bob</v>
      </c>
    </row>
    <row r="1001" spans="1:15" x14ac:dyDescent="0.3">
      <c r="A1001" s="15">
        <v>1000</v>
      </c>
      <c r="B1001" s="21">
        <v>45926</v>
      </c>
      <c r="C1001" s="16" t="s">
        <v>1019</v>
      </c>
      <c r="D1001" s="16" t="s">
        <v>2</v>
      </c>
      <c r="E1001" s="16" t="s">
        <v>14</v>
      </c>
      <c r="F1001" s="16">
        <v>39</v>
      </c>
      <c r="G1001" s="16" t="s">
        <v>20</v>
      </c>
      <c r="H1001" s="16">
        <v>3</v>
      </c>
      <c r="I1001" s="16">
        <v>205</v>
      </c>
      <c r="J1001" s="17">
        <v>615</v>
      </c>
      <c r="M1001" s="6" t="str" cm="1">
        <f t="array" ref="M1001">_xlfn.IFS(J1001&lt;=500,"Low",J1001&gt;=1500,"Mid",J1001&lt;=1500,"High",TRUE,"no")</f>
        <v>High</v>
      </c>
      <c r="N1001" s="6"/>
      <c r="O1001" s="6" t="str">
        <f t="shared" si="23"/>
        <v>Diana</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Dataset</vt:lpstr>
      <vt:lpstr>Filter and formula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Isamaliya</dc:creator>
  <cp:lastModifiedBy>Ayush Isamaliya</cp:lastModifiedBy>
  <dcterms:created xsi:type="dcterms:W3CDTF">2025-11-26T10:41:33Z</dcterms:created>
  <dcterms:modified xsi:type="dcterms:W3CDTF">2025-11-26T13:08:04Z</dcterms:modified>
</cp:coreProperties>
</file>